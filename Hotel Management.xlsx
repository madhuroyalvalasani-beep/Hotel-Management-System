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fa6e4d92450e4df9/Desktop/"/>
    </mc:Choice>
  </mc:AlternateContent>
  <xr:revisionPtr revIDLastSave="0" documentId="8_{BBA2A287-184E-4C33-8A25-5D9C34433407}" xr6:coauthVersionLast="47" xr6:coauthVersionMax="47" xr10:uidLastSave="{00000000-0000-0000-0000-000000000000}"/>
  <bookViews>
    <workbookView xWindow="-108" yWindow="-108" windowWidth="23256" windowHeight="12456" xr2:uid="{2412279D-E7F6-4F6B-B819-55BD8016987B}"/>
  </bookViews>
  <sheets>
    <sheet name="Coustmer Details" sheetId="1" r:id="rId1"/>
    <sheet name="Room Details" sheetId="2" r:id="rId2"/>
    <sheet name="Dash Board-1" sheetId="8" r:id="rId3"/>
    <sheet name="Room Lookup" sheetId="14" r:id="rId4"/>
    <sheet name="Food Details" sheetId="3" r:id="rId5"/>
    <sheet name="Dash Board-2" sheetId="9" r:id="rId6"/>
    <sheet name="Lookups" sheetId="12" r:id="rId7"/>
    <sheet name="Total Bill" sheetId="4" r:id="rId8"/>
    <sheet name="Dash Board-3" sheetId="11" r:id="rId9"/>
    <sheet name="Visualization" sheetId="19" r:id="rId10"/>
  </sheets>
  <definedNames>
    <definedName name="Slicer_AC_Non_AC">#N/A</definedName>
    <definedName name="Slicer_Bed_Type">#N/A</definedName>
    <definedName name="Slicer_Check_in_Date">#N/A</definedName>
    <definedName name="Slicer_Check_out_date">#N/A</definedName>
    <definedName name="Slicer_Food_ID">#N/A</definedName>
    <definedName name="Slicer_Food_Type">#N/A</definedName>
    <definedName name="Slicer_No.of_Days">#N/A</definedName>
    <definedName name="Slicer_Order_Type">#N/A</definedName>
    <definedName name="Slicer_Price_per_day">#N/A</definedName>
    <definedName name="Slicer_Quantity">#N/A</definedName>
    <definedName name="Slicer_Room_Type">#N/A</definedName>
    <definedName name="Slicer_Total_Amount">#N/A</definedName>
  </definedNames>
  <calcPr calcId="191029"/>
  <pivotCaches>
    <pivotCache cacheId="0" r:id="rId11"/>
    <pivotCache cacheId="1" r:id="rId12"/>
    <pivotCache cacheId="2"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 l="1" a="1"/>
  <c r="J5" i="3" s="1"/>
  <c r="J6" i="3" a="1"/>
  <c r="J6" i="3"/>
  <c r="J7" i="3" a="1"/>
  <c r="J7" i="3"/>
  <c r="J8" i="3" a="1"/>
  <c r="J8" i="3"/>
  <c r="J9" i="3" a="1"/>
  <c r="J9" i="3"/>
  <c r="J10" i="3" a="1"/>
  <c r="J10" i="3"/>
  <c r="J11" i="3" a="1"/>
  <c r="J11" i="3" s="1"/>
  <c r="J12" i="3" a="1"/>
  <c r="J12" i="3"/>
  <c r="J13" i="3" a="1"/>
  <c r="J13" i="3"/>
  <c r="J14" i="3" a="1"/>
  <c r="J14" i="3"/>
  <c r="J15" i="3" a="1"/>
  <c r="J15" i="3"/>
  <c r="J16" i="3" a="1"/>
  <c r="J16" i="3"/>
  <c r="J17" i="3" a="1"/>
  <c r="J17" i="3" s="1"/>
  <c r="J18" i="3" a="1"/>
  <c r="J18" i="3"/>
  <c r="J19" i="3" a="1"/>
  <c r="J19" i="3"/>
  <c r="J20" i="3" a="1"/>
  <c r="J20" i="3"/>
  <c r="J21" i="3" a="1"/>
  <c r="J21" i="3"/>
  <c r="J22" i="3" a="1"/>
  <c r="J22" i="3"/>
  <c r="J23" i="3" a="1"/>
  <c r="J23" i="3" s="1"/>
  <c r="J24" i="3" a="1"/>
  <c r="J24" i="3"/>
  <c r="J25" i="3" a="1"/>
  <c r="J25" i="3"/>
  <c r="J26" i="3" a="1"/>
  <c r="J26" i="3"/>
  <c r="J27" i="3" a="1"/>
  <c r="J27" i="3"/>
  <c r="J28" i="3" a="1"/>
  <c r="J28" i="3"/>
  <c r="J29" i="3" a="1"/>
  <c r="J29" i="3" s="1"/>
  <c r="J30" i="3" a="1"/>
  <c r="J30" i="3"/>
  <c r="J31" i="3" a="1"/>
  <c r="J31" i="3"/>
  <c r="J32" i="3" a="1"/>
  <c r="J32" i="3"/>
  <c r="J33" i="3" a="1"/>
  <c r="J33" i="3"/>
  <c r="J34" i="3" a="1"/>
  <c r="J34" i="3"/>
  <c r="J35" i="3" a="1"/>
  <c r="J35" i="3" s="1"/>
  <c r="J36" i="3" a="1"/>
  <c r="J36" i="3"/>
  <c r="J37" i="3" a="1"/>
  <c r="J37" i="3"/>
  <c r="J38" i="3" a="1"/>
  <c r="J38" i="3"/>
  <c r="J39" i="3" a="1"/>
  <c r="J39" i="3"/>
  <c r="J40" i="3" a="1"/>
  <c r="J40" i="3"/>
  <c r="J41" i="3" a="1"/>
  <c r="J41" i="3" s="1"/>
  <c r="J42" i="3" a="1"/>
  <c r="J42" i="3"/>
  <c r="J43" i="3" a="1"/>
  <c r="J43" i="3"/>
  <c r="J44" i="3" a="1"/>
  <c r="J44" i="3"/>
  <c r="J45" i="3" a="1"/>
  <c r="J45" i="3"/>
  <c r="J46" i="3" a="1"/>
  <c r="J46" i="3"/>
  <c r="J47" i="3" a="1"/>
  <c r="J47" i="3" s="1"/>
  <c r="J48" i="3" a="1"/>
  <c r="J48" i="3"/>
  <c r="J49" i="3" a="1"/>
  <c r="J49" i="3"/>
  <c r="J50" i="3" a="1"/>
  <c r="J50" i="3"/>
  <c r="J51" i="3" a="1"/>
  <c r="J51" i="3"/>
  <c r="J52" i="3" a="1"/>
  <c r="J52" i="3"/>
  <c r="J53" i="3" a="1"/>
  <c r="J53" i="3" s="1"/>
  <c r="J4" i="3" a="1"/>
  <c r="J4" i="3" s="1"/>
  <c r="O16" i="14" a="1"/>
  <c r="O16" i="14" s="1"/>
  <c r="O15" i="14" a="1"/>
  <c r="O15" i="14" s="1"/>
  <c r="K9" i="14" a="1"/>
  <c r="K9" i="14" s="1"/>
  <c r="K8" i="14" a="1"/>
  <c r="K8" i="14" s="1"/>
  <c r="F51" i="14" a="1"/>
  <c r="F51" i="14" s="1"/>
  <c r="F50" i="14" a="1"/>
  <c r="F50" i="14" s="1"/>
  <c r="F49" i="14" a="1"/>
  <c r="F49" i="14" s="1"/>
  <c r="F48" i="14" a="1"/>
  <c r="F48" i="14" s="1"/>
  <c r="F47" i="14" a="1"/>
  <c r="F47" i="14" s="1"/>
  <c r="F46" i="14" a="1"/>
  <c r="F46" i="14" s="1"/>
  <c r="F45" i="14" a="1"/>
  <c r="F45" i="14" s="1"/>
  <c r="F44" i="14" a="1"/>
  <c r="F44" i="14" s="1"/>
  <c r="F43" i="14" a="1"/>
  <c r="F43" i="14" s="1"/>
  <c r="F42" i="14" a="1"/>
  <c r="F42" i="14" s="1"/>
  <c r="F41" i="14" a="1"/>
  <c r="F41" i="14" s="1"/>
  <c r="F40" i="14" a="1"/>
  <c r="F40" i="14" s="1"/>
  <c r="F39" i="14" a="1"/>
  <c r="F39" i="14" s="1"/>
  <c r="F38" i="14" a="1"/>
  <c r="F38" i="14" s="1"/>
  <c r="F37" i="14" a="1"/>
  <c r="F37" i="14" s="1"/>
  <c r="F36" i="14" a="1"/>
  <c r="F36" i="14" s="1"/>
  <c r="F35" i="14" a="1"/>
  <c r="F35" i="14" s="1"/>
  <c r="F34" i="14" a="1"/>
  <c r="F34" i="14" s="1"/>
  <c r="F33" i="14" a="1"/>
  <c r="F33" i="14" s="1"/>
  <c r="F32" i="14" a="1"/>
  <c r="F32" i="14" s="1"/>
  <c r="F31" i="14" a="1"/>
  <c r="F31" i="14" s="1"/>
  <c r="F30" i="14" a="1"/>
  <c r="F30" i="14" s="1"/>
  <c r="F29" i="14" a="1"/>
  <c r="F29" i="14" s="1"/>
  <c r="F28" i="14" a="1"/>
  <c r="F28" i="14" s="1"/>
  <c r="F27" i="14" a="1"/>
  <c r="F27" i="14" s="1"/>
  <c r="F26" i="14" a="1"/>
  <c r="F26" i="14" s="1"/>
  <c r="F25" i="14" a="1"/>
  <c r="F25" i="14" s="1"/>
  <c r="F24" i="14" a="1"/>
  <c r="F24" i="14" s="1"/>
  <c r="F23" i="14" a="1"/>
  <c r="F23" i="14" s="1"/>
  <c r="F22" i="14" a="1"/>
  <c r="F22" i="14" s="1"/>
  <c r="F21" i="14" a="1"/>
  <c r="F21" i="14" s="1"/>
  <c r="F20" i="14" a="1"/>
  <c r="F20" i="14" s="1"/>
  <c r="F19" i="14" a="1"/>
  <c r="F19" i="14" s="1"/>
  <c r="F18" i="14" a="1"/>
  <c r="F18" i="14" s="1"/>
  <c r="F17" i="14" a="1"/>
  <c r="F17" i="14" s="1"/>
  <c r="F16" i="14" a="1"/>
  <c r="F16" i="14" s="1"/>
  <c r="F15" i="14" a="1"/>
  <c r="F15" i="14" s="1"/>
  <c r="F14" i="14" a="1"/>
  <c r="F14" i="14" s="1"/>
  <c r="F13" i="14" a="1"/>
  <c r="F13" i="14" s="1"/>
  <c r="F12" i="14" a="1"/>
  <c r="F12" i="14" s="1"/>
  <c r="F11" i="14" a="1"/>
  <c r="F11" i="14" s="1"/>
  <c r="F10" i="14" a="1"/>
  <c r="F10" i="14" s="1"/>
  <c r="F9" i="14" a="1"/>
  <c r="F9" i="14" s="1"/>
  <c r="F8" i="14" a="1"/>
  <c r="F8" i="14" s="1"/>
  <c r="F7" i="14" a="1"/>
  <c r="F7" i="14" s="1"/>
  <c r="F6" i="14" a="1"/>
  <c r="F6" i="14" s="1"/>
  <c r="F5" i="14" a="1"/>
  <c r="F5" i="14" s="1"/>
  <c r="F4" i="14" a="1"/>
  <c r="F4" i="14" s="1"/>
  <c r="F3" i="14" a="1"/>
  <c r="F3" i="14" s="1"/>
  <c r="F2" i="14" a="1"/>
  <c r="F2" i="14" s="1"/>
  <c r="K18" i="12" a="1"/>
  <c r="K18" i="12" s="1"/>
  <c r="K17" i="12" a="1"/>
  <c r="K17" i="12" s="1"/>
  <c r="K9" i="12" a="1"/>
  <c r="K9" i="12" s="1"/>
  <c r="K8" i="12" a="1"/>
  <c r="K8" i="12" s="1"/>
  <c r="F51" i="12" a="1"/>
  <c r="F51" i="12" s="1"/>
  <c r="G51" i="12" s="1"/>
  <c r="C51" i="12" a="1"/>
  <c r="C51" i="12" s="1"/>
  <c r="F50" i="12" a="1"/>
  <c r="F50" i="12" s="1"/>
  <c r="G50" i="12" s="1"/>
  <c r="C50" i="12" a="1"/>
  <c r="C50" i="12" s="1"/>
  <c r="F49" i="12"/>
  <c r="G49" i="12" s="1"/>
  <c r="F49" i="12" a="1"/>
  <c r="C49" i="12" a="1"/>
  <c r="C49" i="12" s="1"/>
  <c r="F48" i="12" a="1"/>
  <c r="F48" i="12" s="1"/>
  <c r="G48" i="12" s="1"/>
  <c r="C48" i="12" a="1"/>
  <c r="C48" i="12" s="1"/>
  <c r="F47" i="12" a="1"/>
  <c r="F47" i="12" s="1"/>
  <c r="G47" i="12" s="1"/>
  <c r="C47" i="12"/>
  <c r="C47" i="12" a="1"/>
  <c r="F46" i="12" a="1"/>
  <c r="F46" i="12" s="1"/>
  <c r="G46" i="12" s="1"/>
  <c r="C46" i="12" a="1"/>
  <c r="C46" i="12" s="1"/>
  <c r="F45" i="12" a="1"/>
  <c r="F45" i="12" s="1"/>
  <c r="G45" i="12" s="1"/>
  <c r="C45" i="12" a="1"/>
  <c r="C45" i="12" s="1"/>
  <c r="F44" i="12" a="1"/>
  <c r="F44" i="12" s="1"/>
  <c r="G44" i="12" s="1"/>
  <c r="C44" i="12" a="1"/>
  <c r="C44" i="12" s="1"/>
  <c r="F43" i="12" a="1"/>
  <c r="F43" i="12" s="1"/>
  <c r="G43" i="12" s="1"/>
  <c r="C43" i="12" a="1"/>
  <c r="C43" i="12" s="1"/>
  <c r="F42" i="12" a="1"/>
  <c r="F42" i="12" s="1"/>
  <c r="G42" i="12" s="1"/>
  <c r="C42" i="12" a="1"/>
  <c r="C42" i="12" s="1"/>
  <c r="F41" i="12" a="1"/>
  <c r="F41" i="12" s="1"/>
  <c r="G41" i="12" s="1"/>
  <c r="C41" i="12" a="1"/>
  <c r="C41" i="12" s="1"/>
  <c r="F40" i="12" a="1"/>
  <c r="F40" i="12" s="1"/>
  <c r="G40" i="12" s="1"/>
  <c r="C40" i="12" a="1"/>
  <c r="C40" i="12" s="1"/>
  <c r="F39" i="12"/>
  <c r="G39" i="12" s="1"/>
  <c r="F39" i="12" a="1"/>
  <c r="C39" i="12" a="1"/>
  <c r="C39" i="12" s="1"/>
  <c r="F38" i="12" a="1"/>
  <c r="F38" i="12" s="1"/>
  <c r="G38" i="12" s="1"/>
  <c r="C38" i="12" a="1"/>
  <c r="C38" i="12" s="1"/>
  <c r="F37" i="12"/>
  <c r="G37" i="12" s="1"/>
  <c r="F37" i="12" a="1"/>
  <c r="C37" i="12"/>
  <c r="C37" i="12" a="1"/>
  <c r="F36" i="12" a="1"/>
  <c r="F36" i="12" s="1"/>
  <c r="G36" i="12" s="1"/>
  <c r="C36" i="12" a="1"/>
  <c r="C36" i="12" s="1"/>
  <c r="F35" i="12" a="1"/>
  <c r="F35" i="12" s="1"/>
  <c r="G35" i="12" s="1"/>
  <c r="C35" i="12"/>
  <c r="C35" i="12" a="1"/>
  <c r="F34" i="12" a="1"/>
  <c r="F34" i="12" s="1"/>
  <c r="G34" i="12" s="1"/>
  <c r="C34" i="12" a="1"/>
  <c r="C34" i="12" s="1"/>
  <c r="F33" i="12" a="1"/>
  <c r="F33" i="12" s="1"/>
  <c r="G33" i="12" s="1"/>
  <c r="C33" i="12" a="1"/>
  <c r="C33" i="12" s="1"/>
  <c r="F32" i="12" a="1"/>
  <c r="F32" i="12" s="1"/>
  <c r="G32" i="12" s="1"/>
  <c r="C32" i="12" a="1"/>
  <c r="C32" i="12" s="1"/>
  <c r="F31" i="12" a="1"/>
  <c r="F31" i="12" s="1"/>
  <c r="G31" i="12" s="1"/>
  <c r="C31" i="12" a="1"/>
  <c r="C31" i="12" s="1"/>
  <c r="F30" i="12" a="1"/>
  <c r="F30" i="12" s="1"/>
  <c r="G30" i="12" s="1"/>
  <c r="C30" i="12" a="1"/>
  <c r="C30" i="12" s="1"/>
  <c r="F29" i="12" a="1"/>
  <c r="F29" i="12" s="1"/>
  <c r="G29" i="12" s="1"/>
  <c r="C29" i="12" a="1"/>
  <c r="C29" i="12" s="1"/>
  <c r="F28" i="12" a="1"/>
  <c r="F28" i="12" s="1"/>
  <c r="G28" i="12" s="1"/>
  <c r="C28" i="12" a="1"/>
  <c r="C28" i="12" s="1"/>
  <c r="F27" i="12"/>
  <c r="G27" i="12" s="1"/>
  <c r="F27" i="12" a="1"/>
  <c r="C27" i="12" a="1"/>
  <c r="C27" i="12" s="1"/>
  <c r="F26" i="12" a="1"/>
  <c r="F26" i="12" s="1"/>
  <c r="G26" i="12" s="1"/>
  <c r="C26" i="12" a="1"/>
  <c r="C26" i="12" s="1"/>
  <c r="F25" i="12"/>
  <c r="G25" i="12" s="1"/>
  <c r="F25" i="12" a="1"/>
  <c r="C25" i="12"/>
  <c r="C25" i="12" a="1"/>
  <c r="F24" i="12" a="1"/>
  <c r="F24" i="12" s="1"/>
  <c r="G24" i="12" s="1"/>
  <c r="C24" i="12" a="1"/>
  <c r="C24" i="12" s="1"/>
  <c r="F23" i="12" a="1"/>
  <c r="F23" i="12" s="1"/>
  <c r="G23" i="12" s="1"/>
  <c r="C23" i="12"/>
  <c r="C23" i="12" a="1"/>
  <c r="F22" i="12" a="1"/>
  <c r="F22" i="12" s="1"/>
  <c r="G22" i="12" s="1"/>
  <c r="C22" i="12" a="1"/>
  <c r="C22" i="12" s="1"/>
  <c r="F21" i="12" a="1"/>
  <c r="F21" i="12" s="1"/>
  <c r="G21" i="12" s="1"/>
  <c r="C21" i="12" a="1"/>
  <c r="C21" i="12" s="1"/>
  <c r="F20" i="12" a="1"/>
  <c r="F20" i="12" s="1"/>
  <c r="G20" i="12" s="1"/>
  <c r="C20" i="12" a="1"/>
  <c r="C20" i="12" s="1"/>
  <c r="F19" i="12" a="1"/>
  <c r="F19" i="12" s="1"/>
  <c r="G19" i="12" s="1"/>
  <c r="C19" i="12" a="1"/>
  <c r="C19" i="12" s="1"/>
  <c r="F18" i="12" a="1"/>
  <c r="F18" i="12" s="1"/>
  <c r="G18" i="12" s="1"/>
  <c r="C18" i="12" a="1"/>
  <c r="C18" i="12" s="1"/>
  <c r="F17" i="12" a="1"/>
  <c r="F17" i="12" s="1"/>
  <c r="G17" i="12" s="1"/>
  <c r="C17" i="12" a="1"/>
  <c r="C17" i="12" s="1"/>
  <c r="F16" i="12" a="1"/>
  <c r="F16" i="12" s="1"/>
  <c r="G16" i="12" s="1"/>
  <c r="C16" i="12" a="1"/>
  <c r="C16" i="12" s="1"/>
  <c r="F15" i="12"/>
  <c r="G15" i="12" s="1"/>
  <c r="F15" i="12" a="1"/>
  <c r="C15" i="12" a="1"/>
  <c r="C15" i="12" s="1"/>
  <c r="F14" i="12" a="1"/>
  <c r="F14" i="12" s="1"/>
  <c r="G14" i="12" s="1"/>
  <c r="C14" i="12" a="1"/>
  <c r="C14" i="12" s="1"/>
  <c r="F13" i="12"/>
  <c r="G13" i="12" s="1"/>
  <c r="F13" i="12" a="1"/>
  <c r="C13" i="12"/>
  <c r="C13" i="12" a="1"/>
  <c r="F12" i="12" a="1"/>
  <c r="F12" i="12" s="1"/>
  <c r="G12" i="12" s="1"/>
  <c r="C12" i="12" a="1"/>
  <c r="C12" i="12" s="1"/>
  <c r="F11" i="12" a="1"/>
  <c r="F11" i="12" s="1"/>
  <c r="G11" i="12" s="1"/>
  <c r="C11" i="12"/>
  <c r="C11" i="12" a="1"/>
  <c r="F10" i="12" a="1"/>
  <c r="F10" i="12" s="1"/>
  <c r="G10" i="12" s="1"/>
  <c r="C10" i="12" a="1"/>
  <c r="C10" i="12" s="1"/>
  <c r="F9" i="12" a="1"/>
  <c r="F9" i="12" s="1"/>
  <c r="G9" i="12" s="1"/>
  <c r="C9" i="12" a="1"/>
  <c r="C9" i="12" s="1"/>
  <c r="F8" i="12" a="1"/>
  <c r="F8" i="12" s="1"/>
  <c r="G8" i="12" s="1"/>
  <c r="C8" i="12" a="1"/>
  <c r="C8" i="12" s="1"/>
  <c r="F7" i="12" a="1"/>
  <c r="F7" i="12" s="1"/>
  <c r="G7" i="12" s="1"/>
  <c r="C7" i="12" a="1"/>
  <c r="C7" i="12" s="1"/>
  <c r="F6" i="12" a="1"/>
  <c r="F6" i="12" s="1"/>
  <c r="G6" i="12" s="1"/>
  <c r="C6" i="12" a="1"/>
  <c r="C6" i="12" s="1"/>
  <c r="F5" i="12" a="1"/>
  <c r="F5" i="12" s="1"/>
  <c r="G5" i="12" s="1"/>
  <c r="C5" i="12" a="1"/>
  <c r="C5" i="12" s="1"/>
  <c r="F4" i="12" a="1"/>
  <c r="F4" i="12" s="1"/>
  <c r="G4" i="12" s="1"/>
  <c r="C4" i="12" a="1"/>
  <c r="C4" i="12" s="1"/>
  <c r="F3" i="12"/>
  <c r="G3" i="12" s="1"/>
  <c r="F3" i="12" a="1"/>
  <c r="C3" i="12" a="1"/>
  <c r="C3" i="12" s="1"/>
  <c r="F2" i="12" a="1"/>
  <c r="F2" i="12" s="1"/>
  <c r="G2" i="12" s="1"/>
  <c r="C2" i="12" a="1"/>
  <c r="C2" i="12" s="1"/>
  <c r="J4" i="1" l="1"/>
  <c r="AB52" i="9" a="1"/>
  <c r="AB52" i="9" s="1"/>
  <c r="AC52" i="9" s="1"/>
  <c r="Y52" i="9" a="1"/>
  <c r="Y52" i="9" s="1"/>
  <c r="AB51" i="9" a="1"/>
  <c r="AB51" i="9" s="1"/>
  <c r="AC51" i="9" s="1"/>
  <c r="Y51" i="9" a="1"/>
  <c r="Y51" i="9" s="1"/>
  <c r="AB50" i="9" a="1"/>
  <c r="AB50" i="9" s="1"/>
  <c r="AC50" i="9" s="1"/>
  <c r="Y50" i="9" a="1"/>
  <c r="Y50" i="9" s="1"/>
  <c r="AB49" i="9" a="1"/>
  <c r="AB49" i="9" s="1"/>
  <c r="AC49" i="9" s="1"/>
  <c r="Y49" i="9" a="1"/>
  <c r="Y49" i="9" s="1"/>
  <c r="AB48" i="9" a="1"/>
  <c r="AB48" i="9" s="1"/>
  <c r="AC48" i="9" s="1"/>
  <c r="Y48" i="9" a="1"/>
  <c r="Y48" i="9" s="1"/>
  <c r="AB47" i="9" a="1"/>
  <c r="AB47" i="9" s="1"/>
  <c r="AC47" i="9" s="1"/>
  <c r="Y47" i="9" a="1"/>
  <c r="Y47" i="9" s="1"/>
  <c r="AB46" i="9" a="1"/>
  <c r="AB46" i="9" s="1"/>
  <c r="AC46" i="9" s="1"/>
  <c r="Y46" i="9" a="1"/>
  <c r="Y46" i="9" s="1"/>
  <c r="AB45" i="9" a="1"/>
  <c r="AB45" i="9" s="1"/>
  <c r="AC45" i="9" s="1"/>
  <c r="Y45" i="9" a="1"/>
  <c r="Y45" i="9" s="1"/>
  <c r="AB44" i="9" a="1"/>
  <c r="AB44" i="9" s="1"/>
  <c r="AC44" i="9" s="1"/>
  <c r="Y44" i="9" a="1"/>
  <c r="Y44" i="9" s="1"/>
  <c r="AB43" i="9" a="1"/>
  <c r="AB43" i="9" s="1"/>
  <c r="AC43" i="9" s="1"/>
  <c r="Y43" i="9" a="1"/>
  <c r="Y43" i="9" s="1"/>
  <c r="AB42" i="9" a="1"/>
  <c r="AB42" i="9" s="1"/>
  <c r="AC42" i="9" s="1"/>
  <c r="Y42" i="9" a="1"/>
  <c r="Y42" i="9" s="1"/>
  <c r="AB41" i="9" a="1"/>
  <c r="AB41" i="9" s="1"/>
  <c r="AC41" i="9" s="1"/>
  <c r="Y41" i="9" a="1"/>
  <c r="Y41" i="9" s="1"/>
  <c r="AB40" i="9" a="1"/>
  <c r="AB40" i="9" s="1"/>
  <c r="AC40" i="9" s="1"/>
  <c r="Y40" i="9" a="1"/>
  <c r="Y40" i="9" s="1"/>
  <c r="AB39" i="9" a="1"/>
  <c r="AB39" i="9" s="1"/>
  <c r="AC39" i="9" s="1"/>
  <c r="Y39" i="9" a="1"/>
  <c r="Y39" i="9" s="1"/>
  <c r="AB38" i="9" a="1"/>
  <c r="AB38" i="9" s="1"/>
  <c r="AC38" i="9" s="1"/>
  <c r="Y38" i="9" a="1"/>
  <c r="Y38" i="9" s="1"/>
  <c r="AB37" i="9" a="1"/>
  <c r="AB37" i="9" s="1"/>
  <c r="AC37" i="9" s="1"/>
  <c r="Y37" i="9" a="1"/>
  <c r="Y37" i="9" s="1"/>
  <c r="AB36" i="9" a="1"/>
  <c r="AB36" i="9" s="1"/>
  <c r="AC36" i="9" s="1"/>
  <c r="Y36" i="9" a="1"/>
  <c r="Y36" i="9" s="1"/>
  <c r="AB35" i="9" a="1"/>
  <c r="AB35" i="9" s="1"/>
  <c r="AC35" i="9" s="1"/>
  <c r="Y35" i="9" a="1"/>
  <c r="Y35" i="9" s="1"/>
  <c r="AB34" i="9" a="1"/>
  <c r="AB34" i="9" s="1"/>
  <c r="AC34" i="9" s="1"/>
  <c r="Y34" i="9" a="1"/>
  <c r="Y34" i="9" s="1"/>
  <c r="AB33" i="9" a="1"/>
  <c r="AB33" i="9" s="1"/>
  <c r="AC33" i="9" s="1"/>
  <c r="Y33" i="9" a="1"/>
  <c r="Y33" i="9" s="1"/>
  <c r="AB32" i="9" a="1"/>
  <c r="AB32" i="9" s="1"/>
  <c r="AC32" i="9" s="1"/>
  <c r="Y32" i="9" a="1"/>
  <c r="Y32" i="9" s="1"/>
  <c r="AB31" i="9" a="1"/>
  <c r="AB31" i="9" s="1"/>
  <c r="AC31" i="9" s="1"/>
  <c r="Y31" i="9" a="1"/>
  <c r="Y31" i="9" s="1"/>
  <c r="AB30" i="9" a="1"/>
  <c r="AB30" i="9" s="1"/>
  <c r="AC30" i="9" s="1"/>
  <c r="Y30" i="9" a="1"/>
  <c r="Y30" i="9" s="1"/>
  <c r="AB29" i="9" a="1"/>
  <c r="AB29" i="9" s="1"/>
  <c r="AC29" i="9" s="1"/>
  <c r="Y29" i="9" a="1"/>
  <c r="Y29" i="9" s="1"/>
  <c r="AB28" i="9" a="1"/>
  <c r="AB28" i="9" s="1"/>
  <c r="AC28" i="9" s="1"/>
  <c r="Y28" i="9" a="1"/>
  <c r="Y28" i="9" s="1"/>
  <c r="AB27" i="9" a="1"/>
  <c r="AB27" i="9" s="1"/>
  <c r="AC27" i="9" s="1"/>
  <c r="Y27" i="9" a="1"/>
  <c r="Y27" i="9" s="1"/>
  <c r="AB26" i="9" a="1"/>
  <c r="AB26" i="9" s="1"/>
  <c r="AC26" i="9" s="1"/>
  <c r="Y26" i="9" a="1"/>
  <c r="Y26" i="9" s="1"/>
  <c r="AB25" i="9" a="1"/>
  <c r="AB25" i="9" s="1"/>
  <c r="AC25" i="9" s="1"/>
  <c r="Y25" i="9" a="1"/>
  <c r="Y25" i="9" s="1"/>
  <c r="AB24" i="9" a="1"/>
  <c r="AB24" i="9" s="1"/>
  <c r="AC24" i="9" s="1"/>
  <c r="Y24" i="9" a="1"/>
  <c r="Y24" i="9" s="1"/>
  <c r="AB23" i="9" a="1"/>
  <c r="AB23" i="9" s="1"/>
  <c r="AC23" i="9" s="1"/>
  <c r="Y23" i="9" a="1"/>
  <c r="Y23" i="9" s="1"/>
  <c r="AB22" i="9" a="1"/>
  <c r="AB22" i="9" s="1"/>
  <c r="AC22" i="9" s="1"/>
  <c r="Y22" i="9" a="1"/>
  <c r="Y22" i="9" s="1"/>
  <c r="AB21" i="9" a="1"/>
  <c r="AB21" i="9" s="1"/>
  <c r="AC21" i="9" s="1"/>
  <c r="Y21" i="9" a="1"/>
  <c r="Y21" i="9" s="1"/>
  <c r="AB20" i="9" a="1"/>
  <c r="AB20" i="9" s="1"/>
  <c r="AC20" i="9" s="1"/>
  <c r="Y20" i="9" a="1"/>
  <c r="Y20" i="9" s="1"/>
  <c r="AB19" i="9" a="1"/>
  <c r="AB19" i="9" s="1"/>
  <c r="AC19" i="9" s="1"/>
  <c r="Y19" i="9" a="1"/>
  <c r="Y19" i="9" s="1"/>
  <c r="AB18" i="9" a="1"/>
  <c r="AB18" i="9" s="1"/>
  <c r="AC18" i="9" s="1"/>
  <c r="Y18" i="9" a="1"/>
  <c r="Y18" i="9" s="1"/>
  <c r="AB17" i="9" a="1"/>
  <c r="AB17" i="9" s="1"/>
  <c r="AC17" i="9" s="1"/>
  <c r="Y17" i="9" a="1"/>
  <c r="Y17" i="9" s="1"/>
  <c r="AB16" i="9" a="1"/>
  <c r="AB16" i="9" s="1"/>
  <c r="AC16" i="9" s="1"/>
  <c r="Y16" i="9" a="1"/>
  <c r="Y16" i="9" s="1"/>
  <c r="AB15" i="9" a="1"/>
  <c r="AB15" i="9" s="1"/>
  <c r="AC15" i="9" s="1"/>
  <c r="Y15" i="9" a="1"/>
  <c r="Y15" i="9" s="1"/>
  <c r="AB14" i="9" a="1"/>
  <c r="AB14" i="9" s="1"/>
  <c r="AC14" i="9" s="1"/>
  <c r="Y14" i="9" a="1"/>
  <c r="Y14" i="9" s="1"/>
  <c r="AB13" i="9" a="1"/>
  <c r="AB13" i="9" s="1"/>
  <c r="AC13" i="9" s="1"/>
  <c r="Y13" i="9" a="1"/>
  <c r="Y13" i="9" s="1"/>
  <c r="AB12" i="9" a="1"/>
  <c r="AB12" i="9" s="1"/>
  <c r="AC12" i="9" s="1"/>
  <c r="Y12" i="9" a="1"/>
  <c r="Y12" i="9" s="1"/>
  <c r="AB11" i="9" a="1"/>
  <c r="AB11" i="9" s="1"/>
  <c r="AC11" i="9" s="1"/>
  <c r="Y11" i="9" a="1"/>
  <c r="Y11" i="9" s="1"/>
  <c r="AB10" i="9" a="1"/>
  <c r="AB10" i="9" s="1"/>
  <c r="AC10" i="9" s="1"/>
  <c r="Y10" i="9" a="1"/>
  <c r="Y10" i="9" s="1"/>
  <c r="AB9" i="9" a="1"/>
  <c r="AB9" i="9" s="1"/>
  <c r="AC9" i="9" s="1"/>
  <c r="Y9" i="9" a="1"/>
  <c r="Y9" i="9" s="1"/>
  <c r="AB8" i="9" a="1"/>
  <c r="AB8" i="9" s="1"/>
  <c r="AC8" i="9" s="1"/>
  <c r="Y8" i="9" a="1"/>
  <c r="Y8" i="9" s="1"/>
  <c r="AB7" i="9" a="1"/>
  <c r="AB7" i="9" s="1"/>
  <c r="AC7" i="9" s="1"/>
  <c r="Y7" i="9" a="1"/>
  <c r="Y7" i="9" s="1"/>
  <c r="AB6" i="9" a="1"/>
  <c r="AB6" i="9" s="1"/>
  <c r="AC6" i="9" s="1"/>
  <c r="Y6" i="9" a="1"/>
  <c r="Y6" i="9" s="1"/>
  <c r="AB5" i="9" a="1"/>
  <c r="AB5" i="9" s="1"/>
  <c r="AC5" i="9" s="1"/>
  <c r="Y5" i="9" a="1"/>
  <c r="Y5" i="9" s="1"/>
  <c r="AB4" i="9" a="1"/>
  <c r="AB4" i="9" s="1"/>
  <c r="AC4" i="9" s="1"/>
  <c r="Y4" i="9" a="1"/>
  <c r="Y4" i="9" s="1"/>
  <c r="AB3" i="9" a="1"/>
  <c r="AB3" i="9" s="1"/>
  <c r="AC3" i="9" s="1"/>
  <c r="Y3" i="9" a="1"/>
  <c r="Y3" i="9" s="1"/>
  <c r="W52" i="8"/>
  <c r="T52" i="8" a="1"/>
  <c r="T52" i="8" s="1"/>
  <c r="W51" i="8"/>
  <c r="T51" i="8" a="1"/>
  <c r="T51" i="8" s="1"/>
  <c r="W50" i="8"/>
  <c r="T50" i="8" a="1"/>
  <c r="T50" i="8" s="1"/>
  <c r="W49" i="8"/>
  <c r="T49" i="8" a="1"/>
  <c r="T49" i="8" s="1"/>
  <c r="W48" i="8"/>
  <c r="T48" i="8" a="1"/>
  <c r="T48" i="8" s="1"/>
  <c r="W47" i="8"/>
  <c r="T47" i="8" a="1"/>
  <c r="T47" i="8" s="1"/>
  <c r="W46" i="8"/>
  <c r="T46" i="8" a="1"/>
  <c r="T46" i="8" s="1"/>
  <c r="W45" i="8"/>
  <c r="T45" i="8" a="1"/>
  <c r="T45" i="8" s="1"/>
  <c r="W44" i="8"/>
  <c r="T44" i="8" a="1"/>
  <c r="T44" i="8" s="1"/>
  <c r="W43" i="8"/>
  <c r="T43" i="8" a="1"/>
  <c r="T43" i="8" s="1"/>
  <c r="W42" i="8"/>
  <c r="T42" i="8" a="1"/>
  <c r="T42" i="8" s="1"/>
  <c r="W41" i="8"/>
  <c r="T41" i="8" a="1"/>
  <c r="T41" i="8" s="1"/>
  <c r="W40" i="8"/>
  <c r="T40" i="8" a="1"/>
  <c r="T40" i="8" s="1"/>
  <c r="W39" i="8"/>
  <c r="T39" i="8" a="1"/>
  <c r="T39" i="8" s="1"/>
  <c r="W38" i="8"/>
  <c r="T38" i="8" a="1"/>
  <c r="T38" i="8" s="1"/>
  <c r="W37" i="8"/>
  <c r="T37" i="8" a="1"/>
  <c r="T37" i="8" s="1"/>
  <c r="W36" i="8"/>
  <c r="T36" i="8" a="1"/>
  <c r="T36" i="8" s="1"/>
  <c r="W35" i="8"/>
  <c r="T35" i="8" a="1"/>
  <c r="T35" i="8" s="1"/>
  <c r="W34" i="8"/>
  <c r="T34" i="8" a="1"/>
  <c r="T34" i="8" s="1"/>
  <c r="W33" i="8"/>
  <c r="T33" i="8" a="1"/>
  <c r="T33" i="8" s="1"/>
  <c r="W32" i="8"/>
  <c r="T32" i="8" a="1"/>
  <c r="T32" i="8" s="1"/>
  <c r="W31" i="8"/>
  <c r="T31" i="8" a="1"/>
  <c r="T31" i="8" s="1"/>
  <c r="W30" i="8"/>
  <c r="T30" i="8" a="1"/>
  <c r="T30" i="8" s="1"/>
  <c r="W29" i="8"/>
  <c r="T29" i="8" a="1"/>
  <c r="T29" i="8" s="1"/>
  <c r="W28" i="8"/>
  <c r="T28" i="8" a="1"/>
  <c r="T28" i="8" s="1"/>
  <c r="W27" i="8"/>
  <c r="T27" i="8" a="1"/>
  <c r="T27" i="8" s="1"/>
  <c r="W26" i="8"/>
  <c r="T26" i="8" a="1"/>
  <c r="T26" i="8" s="1"/>
  <c r="W25" i="8"/>
  <c r="T25" i="8" a="1"/>
  <c r="T25" i="8" s="1"/>
  <c r="W24" i="8"/>
  <c r="T24" i="8" a="1"/>
  <c r="T24" i="8" s="1"/>
  <c r="W23" i="8"/>
  <c r="T23" i="8" a="1"/>
  <c r="T23" i="8" s="1"/>
  <c r="W22" i="8"/>
  <c r="T22" i="8" a="1"/>
  <c r="T22" i="8" s="1"/>
  <c r="W21" i="8"/>
  <c r="T21" i="8" a="1"/>
  <c r="T21" i="8" s="1"/>
  <c r="W20" i="8"/>
  <c r="T20" i="8" a="1"/>
  <c r="T20" i="8" s="1"/>
  <c r="W19" i="8"/>
  <c r="T19" i="8" a="1"/>
  <c r="T19" i="8" s="1"/>
  <c r="W18" i="8"/>
  <c r="T18" i="8" a="1"/>
  <c r="T18" i="8" s="1"/>
  <c r="W17" i="8"/>
  <c r="T17" i="8" a="1"/>
  <c r="T17" i="8" s="1"/>
  <c r="W16" i="8"/>
  <c r="T16" i="8" a="1"/>
  <c r="T16" i="8" s="1"/>
  <c r="W15" i="8"/>
  <c r="T15" i="8" a="1"/>
  <c r="T15" i="8" s="1"/>
  <c r="W14" i="8"/>
  <c r="T14" i="8" a="1"/>
  <c r="T14" i="8" s="1"/>
  <c r="W13" i="8"/>
  <c r="T13" i="8" a="1"/>
  <c r="T13" i="8" s="1"/>
  <c r="W12" i="8"/>
  <c r="T12" i="8" a="1"/>
  <c r="T12" i="8" s="1"/>
  <c r="W11" i="8"/>
  <c r="T11" i="8" a="1"/>
  <c r="T11" i="8" s="1"/>
  <c r="W10" i="8"/>
  <c r="T10" i="8" a="1"/>
  <c r="T10" i="8" s="1"/>
  <c r="W9" i="8"/>
  <c r="T9" i="8" a="1"/>
  <c r="T9" i="8" s="1"/>
  <c r="W8" i="8"/>
  <c r="T8" i="8" a="1"/>
  <c r="T8" i="8" s="1"/>
  <c r="W7" i="8"/>
  <c r="T7" i="8" a="1"/>
  <c r="T7" i="8" s="1"/>
  <c r="W6" i="8"/>
  <c r="T6" i="8" a="1"/>
  <c r="T6" i="8" s="1"/>
  <c r="W5" i="8"/>
  <c r="T5" i="8" a="1"/>
  <c r="T5" i="8" s="1"/>
  <c r="W4" i="8"/>
  <c r="T4" i="8" a="1"/>
  <c r="T4" i="8" s="1"/>
  <c r="W3" i="8"/>
  <c r="T3" i="8" a="1"/>
  <c r="T3" i="8" s="1"/>
  <c r="B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K9" i="3"/>
  <c r="G9" i="4" s="1"/>
  <c r="K10" i="3"/>
  <c r="G10" i="4" s="1"/>
  <c r="K5" i="3"/>
  <c r="G5" i="4" s="1"/>
  <c r="K6" i="3"/>
  <c r="G6" i="4" s="1"/>
  <c r="K7" i="3"/>
  <c r="G7" i="4" s="1"/>
  <c r="K8" i="3"/>
  <c r="G8" i="4" s="1"/>
  <c r="K11" i="3"/>
  <c r="G11" i="4" s="1"/>
  <c r="K12" i="3"/>
  <c r="G12" i="4" s="1"/>
  <c r="K13" i="3"/>
  <c r="G13" i="4" s="1"/>
  <c r="K14" i="3"/>
  <c r="G14" i="4" s="1"/>
  <c r="K15" i="3"/>
  <c r="G15" i="4" s="1"/>
  <c r="H15" i="4" s="1"/>
  <c r="K16" i="3"/>
  <c r="G16" i="4" s="1"/>
  <c r="H16" i="4" s="1"/>
  <c r="K17" i="3"/>
  <c r="G17" i="4" s="1"/>
  <c r="K18" i="3"/>
  <c r="G18" i="4" s="1"/>
  <c r="K19" i="3"/>
  <c r="G19" i="4" s="1"/>
  <c r="K20" i="3"/>
  <c r="G20" i="4" s="1"/>
  <c r="K21" i="3"/>
  <c r="G21" i="4" s="1"/>
  <c r="H21" i="4" s="1"/>
  <c r="K22" i="3"/>
  <c r="G22" i="4" s="1"/>
  <c r="H22" i="4" s="1"/>
  <c r="K23" i="3"/>
  <c r="G23" i="4" s="1"/>
  <c r="K24" i="3"/>
  <c r="G24" i="4" s="1"/>
  <c r="K25" i="3"/>
  <c r="G25" i="4" s="1"/>
  <c r="K26" i="3"/>
  <c r="G26" i="4" s="1"/>
  <c r="K27" i="3"/>
  <c r="G27" i="4" s="1"/>
  <c r="H27" i="4" s="1"/>
  <c r="K28" i="3"/>
  <c r="G28" i="4" s="1"/>
  <c r="H28" i="4" s="1"/>
  <c r="K29" i="3"/>
  <c r="G29" i="4" s="1"/>
  <c r="K30" i="3"/>
  <c r="G30" i="4" s="1"/>
  <c r="K31" i="3"/>
  <c r="G31" i="4" s="1"/>
  <c r="K32" i="3"/>
  <c r="G32" i="4" s="1"/>
  <c r="K33" i="3"/>
  <c r="G33" i="4" s="1"/>
  <c r="H33" i="4" s="1"/>
  <c r="K34" i="3"/>
  <c r="G34" i="4" s="1"/>
  <c r="H34" i="4" s="1"/>
  <c r="K35" i="3"/>
  <c r="G35" i="4" s="1"/>
  <c r="K36" i="3"/>
  <c r="G36" i="4" s="1"/>
  <c r="K37" i="3"/>
  <c r="G37" i="4" s="1"/>
  <c r="K38" i="3"/>
  <c r="G38" i="4" s="1"/>
  <c r="K39" i="3"/>
  <c r="G39" i="4" s="1"/>
  <c r="H39" i="4" s="1"/>
  <c r="K40" i="3"/>
  <c r="G40" i="4" s="1"/>
  <c r="H40" i="4" s="1"/>
  <c r="K41" i="3"/>
  <c r="G41" i="4" s="1"/>
  <c r="K42" i="3"/>
  <c r="G42" i="4" s="1"/>
  <c r="K43" i="3"/>
  <c r="G43" i="4" s="1"/>
  <c r="K44" i="3"/>
  <c r="G44" i="4" s="1"/>
  <c r="K45" i="3"/>
  <c r="G45" i="4" s="1"/>
  <c r="H45" i="4" s="1"/>
  <c r="K46" i="3"/>
  <c r="G46" i="4" s="1"/>
  <c r="H46" i="4" s="1"/>
  <c r="K47" i="3"/>
  <c r="G47" i="4" s="1"/>
  <c r="K48" i="3"/>
  <c r="G48" i="4" s="1"/>
  <c r="K49" i="3"/>
  <c r="G49" i="4" s="1"/>
  <c r="K50" i="3"/>
  <c r="G50" i="4" s="1"/>
  <c r="K51" i="3"/>
  <c r="G51" i="4" s="1"/>
  <c r="H51" i="4" s="1"/>
  <c r="K52" i="3"/>
  <c r="G52" i="4" s="1"/>
  <c r="H52" i="4" s="1"/>
  <c r="K53" i="3"/>
  <c r="G53" i="4" s="1"/>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G5" i="2" a="1"/>
  <c r="G5" i="2"/>
  <c r="G6" i="2" a="1"/>
  <c r="G6" i="2"/>
  <c r="G7" i="2" a="1"/>
  <c r="G7" i="2"/>
  <c r="G8" i="2" a="1"/>
  <c r="G8" i="2"/>
  <c r="G9" i="2" a="1"/>
  <c r="G9" i="2"/>
  <c r="G10" i="2" a="1"/>
  <c r="G10" i="2"/>
  <c r="G11" i="2" a="1"/>
  <c r="G11" i="2"/>
  <c r="G12" i="2" a="1"/>
  <c r="G12" i="2"/>
  <c r="G13" i="2" a="1"/>
  <c r="G13" i="2"/>
  <c r="G14" i="2" a="1"/>
  <c r="G14" i="2"/>
  <c r="G15" i="2" a="1"/>
  <c r="G15" i="2"/>
  <c r="G16" i="2" a="1"/>
  <c r="G16" i="2"/>
  <c r="G17" i="2" a="1"/>
  <c r="G17" i="2"/>
  <c r="G18" i="2" a="1"/>
  <c r="G18" i="2"/>
  <c r="G19" i="2" a="1"/>
  <c r="G19" i="2"/>
  <c r="G20" i="2" a="1"/>
  <c r="G20" i="2"/>
  <c r="G21" i="2" a="1"/>
  <c r="G21" i="2"/>
  <c r="G22" i="2" a="1"/>
  <c r="G22" i="2"/>
  <c r="G23" i="2" a="1"/>
  <c r="G23" i="2"/>
  <c r="G24" i="2" a="1"/>
  <c r="G24" i="2"/>
  <c r="G25" i="2" a="1"/>
  <c r="G25" i="2"/>
  <c r="G26" i="2" a="1"/>
  <c r="G26" i="2"/>
  <c r="G27" i="2" a="1"/>
  <c r="G27" i="2"/>
  <c r="G28" i="2" a="1"/>
  <c r="G28" i="2"/>
  <c r="G29" i="2" a="1"/>
  <c r="G29" i="2"/>
  <c r="G30" i="2" a="1"/>
  <c r="G30" i="2"/>
  <c r="G31" i="2" a="1"/>
  <c r="G31" i="2"/>
  <c r="G32" i="2" a="1"/>
  <c r="G32" i="2"/>
  <c r="G33" i="2" a="1"/>
  <c r="G33" i="2"/>
  <c r="G34" i="2" a="1"/>
  <c r="G34" i="2"/>
  <c r="G35" i="2" a="1"/>
  <c r="G35" i="2"/>
  <c r="G36" i="2" a="1"/>
  <c r="G36" i="2"/>
  <c r="G37" i="2" a="1"/>
  <c r="G37" i="2"/>
  <c r="G38" i="2" a="1"/>
  <c r="G38" i="2"/>
  <c r="G39" i="2" a="1"/>
  <c r="G39" i="2"/>
  <c r="G40" i="2" a="1"/>
  <c r="G40" i="2"/>
  <c r="G41" i="2" a="1"/>
  <c r="G41" i="2"/>
  <c r="G42" i="2" a="1"/>
  <c r="G42" i="2"/>
  <c r="G43" i="2" a="1"/>
  <c r="G43" i="2"/>
  <c r="G44" i="2" a="1"/>
  <c r="G44" i="2"/>
  <c r="G45" i="2" a="1"/>
  <c r="G45" i="2"/>
  <c r="G46" i="2" a="1"/>
  <c r="G46" i="2"/>
  <c r="G47" i="2" a="1"/>
  <c r="G47" i="2"/>
  <c r="G48" i="2" a="1"/>
  <c r="G48" i="2"/>
  <c r="G49" i="2" a="1"/>
  <c r="G49" i="2"/>
  <c r="G50" i="2" a="1"/>
  <c r="G50" i="2"/>
  <c r="G51" i="2" a="1"/>
  <c r="G51" i="2"/>
  <c r="G52" i="2" a="1"/>
  <c r="G52" i="2"/>
  <c r="G53" i="2" a="1"/>
  <c r="G53" i="2"/>
  <c r="G4" i="2" a="1"/>
  <c r="G4" i="2" s="1"/>
  <c r="H37" i="4" l="1"/>
  <c r="H48" i="4"/>
  <c r="H36" i="4"/>
  <c r="H49" i="4"/>
  <c r="H13" i="4"/>
  <c r="M21" i="4" s="1" a="1"/>
  <c r="M21" i="4" s="1"/>
  <c r="H53" i="4"/>
  <c r="H41" i="4"/>
  <c r="H25" i="4"/>
  <c r="H29" i="4"/>
  <c r="H17" i="4"/>
  <c r="H5" i="4"/>
  <c r="H50" i="4"/>
  <c r="H38" i="4"/>
  <c r="H26" i="4"/>
  <c r="H14" i="4"/>
  <c r="H24" i="4"/>
  <c r="H12" i="4"/>
  <c r="H47" i="4"/>
  <c r="H35" i="4"/>
  <c r="H23" i="4"/>
  <c r="H11" i="4"/>
  <c r="M22" i="4" s="1" a="1"/>
  <c r="M22" i="4" s="1"/>
  <c r="H10" i="4"/>
  <c r="M10" i="4" s="1" a="1"/>
  <c r="M10" i="4" s="1"/>
  <c r="H9" i="4"/>
  <c r="H44" i="4"/>
  <c r="H32" i="4"/>
  <c r="H20" i="4"/>
  <c r="H8" i="4"/>
  <c r="H43" i="4"/>
  <c r="H31" i="4"/>
  <c r="H19" i="4"/>
  <c r="H7" i="4"/>
  <c r="H42" i="4"/>
  <c r="H30" i="4"/>
  <c r="H18" i="4"/>
  <c r="H6" i="4"/>
  <c r="M9" i="4" s="1" a="1"/>
  <c r="M9" i="4" s="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E30" i="1"/>
  <c r="E31" i="1"/>
  <c r="E32" i="1"/>
  <c r="E33" i="1"/>
  <c r="E34" i="1"/>
  <c r="E35" i="1"/>
  <c r="E36" i="1"/>
  <c r="E37" i="1"/>
  <c r="E38" i="1"/>
  <c r="E39" i="1"/>
  <c r="E40" i="1"/>
  <c r="E41" i="1"/>
  <c r="E42" i="1"/>
  <c r="E43" i="1"/>
  <c r="E44" i="1"/>
  <c r="E45" i="1"/>
  <c r="E46" i="1"/>
  <c r="E47" i="1"/>
  <c r="E48" i="1"/>
  <c r="E49" i="1"/>
  <c r="E50" i="1"/>
  <c r="E51" i="1"/>
  <c r="E52" i="1"/>
  <c r="E53" i="1"/>
  <c r="E5" i="1" l="1"/>
  <c r="E6" i="1"/>
  <c r="E7" i="1"/>
  <c r="E8" i="1"/>
  <c r="E9" i="1"/>
  <c r="E10" i="1"/>
  <c r="E11" i="1"/>
  <c r="E12" i="1"/>
  <c r="E13" i="1"/>
  <c r="E14" i="1"/>
  <c r="E15" i="1"/>
  <c r="E16" i="1"/>
  <c r="E17" i="1"/>
  <c r="E18" i="1"/>
  <c r="E19" i="1"/>
  <c r="E20" i="1"/>
  <c r="E21" i="1"/>
  <c r="E22" i="1"/>
  <c r="E23" i="1"/>
  <c r="E24" i="1"/>
  <c r="E25" i="1"/>
  <c r="E26" i="1"/>
  <c r="E27" i="1"/>
  <c r="E28" i="1"/>
  <c r="E29" i="1"/>
  <c r="F4" i="1"/>
  <c r="F4" i="4"/>
  <c r="E4" i="4"/>
  <c r="D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4" i="4"/>
  <c r="B28" i="4"/>
  <c r="B29" i="4"/>
  <c r="B30" i="4"/>
  <c r="B31" i="4"/>
  <c r="B32" i="4"/>
  <c r="B33" i="4"/>
  <c r="B34" i="4"/>
  <c r="B35" i="4"/>
  <c r="B36" i="4"/>
  <c r="B37" i="4"/>
  <c r="B38" i="4"/>
  <c r="B39" i="4"/>
  <c r="B40" i="4"/>
  <c r="B41" i="4"/>
  <c r="B42" i="4"/>
  <c r="B43" i="4"/>
  <c r="B44" i="4"/>
  <c r="B45" i="4"/>
  <c r="B46" i="4"/>
  <c r="B47" i="4"/>
  <c r="B48" i="4"/>
  <c r="B49" i="4"/>
  <c r="B50" i="4"/>
  <c r="B51" i="4"/>
  <c r="B52" i="4"/>
  <c r="B53" i="4"/>
  <c r="B5" i="4"/>
  <c r="B6" i="4"/>
  <c r="B7" i="4"/>
  <c r="B8" i="4"/>
  <c r="B9" i="4"/>
  <c r="B10" i="4"/>
  <c r="B11" i="4"/>
  <c r="B12" i="4"/>
  <c r="B13" i="4"/>
  <c r="B14" i="4"/>
  <c r="B15" i="4"/>
  <c r="B16" i="4"/>
  <c r="B17" i="4"/>
  <c r="B18" i="4"/>
  <c r="B19" i="4"/>
  <c r="B20" i="4"/>
  <c r="B21" i="4"/>
  <c r="B22" i="4"/>
  <c r="B23" i="4"/>
  <c r="B24" i="4"/>
  <c r="B25" i="4"/>
  <c r="B26" i="4"/>
  <c r="B27" i="4"/>
  <c r="K4" i="3"/>
  <c r="G4" i="4" s="1"/>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4" i="3"/>
  <c r="G5" i="3" a="1"/>
  <c r="G5" i="3" s="1"/>
  <c r="G6" i="3" a="1"/>
  <c r="G6" i="3"/>
  <c r="G7" i="3" a="1"/>
  <c r="G7" i="3"/>
  <c r="G8" i="3" a="1"/>
  <c r="G8" i="3"/>
  <c r="G9" i="3" a="1"/>
  <c r="G9" i="3"/>
  <c r="G10" i="3" a="1"/>
  <c r="G10" i="3" s="1"/>
  <c r="G11" i="3" a="1"/>
  <c r="G11" i="3" s="1"/>
  <c r="G12" i="3" a="1"/>
  <c r="G12" i="3"/>
  <c r="G13" i="3" a="1"/>
  <c r="G13" i="3"/>
  <c r="G14" i="3" a="1"/>
  <c r="G14" i="3"/>
  <c r="G15" i="3" a="1"/>
  <c r="G15" i="3"/>
  <c r="G16" i="3" a="1"/>
  <c r="G16" i="3"/>
  <c r="G17" i="3" a="1"/>
  <c r="G17" i="3" s="1"/>
  <c r="G18" i="3" a="1"/>
  <c r="G18" i="3" s="1"/>
  <c r="G19" i="3" a="1"/>
  <c r="G19" i="3"/>
  <c r="G20" i="3" a="1"/>
  <c r="G20" i="3"/>
  <c r="G21" i="3" a="1"/>
  <c r="G21" i="3"/>
  <c r="G22" i="3" a="1"/>
  <c r="G22" i="3"/>
  <c r="G23" i="3" a="1"/>
  <c r="G23" i="3" s="1"/>
  <c r="G24" i="3" a="1"/>
  <c r="G24" i="3" s="1"/>
  <c r="G25" i="3" a="1"/>
  <c r="G25" i="3" s="1"/>
  <c r="G26" i="3" a="1"/>
  <c r="G26" i="3" s="1"/>
  <c r="G27" i="3" a="1"/>
  <c r="G27" i="3"/>
  <c r="G28" i="3" a="1"/>
  <c r="G28" i="3"/>
  <c r="G29" i="3" a="1"/>
  <c r="G29" i="3" s="1"/>
  <c r="G30" i="3" a="1"/>
  <c r="G30" i="3" s="1"/>
  <c r="G31" i="3" a="1"/>
  <c r="G31" i="3"/>
  <c r="G32" i="3" a="1"/>
  <c r="G32" i="3" s="1"/>
  <c r="G33" i="3" a="1"/>
  <c r="G33" i="3"/>
  <c r="G34" i="3" a="1"/>
  <c r="G34" i="3" s="1"/>
  <c r="G35" i="3" a="1"/>
  <c r="G35" i="3" s="1"/>
  <c r="G36" i="3" a="1"/>
  <c r="G36" i="3"/>
  <c r="G37" i="3" a="1"/>
  <c r="G37" i="3" s="1"/>
  <c r="G38" i="3" a="1"/>
  <c r="G38" i="3"/>
  <c r="G39" i="3" a="1"/>
  <c r="G39" i="3" s="1"/>
  <c r="G40" i="3" a="1"/>
  <c r="G40" i="3"/>
  <c r="G41" i="3" a="1"/>
  <c r="G41" i="3" s="1"/>
  <c r="G42" i="3" a="1"/>
  <c r="G42" i="3" s="1"/>
  <c r="G43" i="3" a="1"/>
  <c r="G43" i="3" s="1"/>
  <c r="G44" i="3" a="1"/>
  <c r="G44" i="3"/>
  <c r="G45" i="3" a="1"/>
  <c r="G45" i="3"/>
  <c r="G46" i="3" a="1"/>
  <c r="G46" i="3" s="1"/>
  <c r="G47" i="3" a="1"/>
  <c r="G47" i="3" s="1"/>
  <c r="G48" i="3" a="1"/>
  <c r="G48" i="3"/>
  <c r="G49" i="3" a="1"/>
  <c r="G49" i="3" s="1"/>
  <c r="G50" i="3" a="1"/>
  <c r="G50" i="3" s="1"/>
  <c r="G51" i="3" a="1"/>
  <c r="G51" i="3"/>
  <c r="G52" i="3" a="1"/>
  <c r="G52" i="3"/>
  <c r="G53" i="3" a="1"/>
  <c r="G53" i="3" s="1"/>
  <c r="G4" i="3" a="1"/>
  <c r="G4" i="3" s="1"/>
  <c r="J4" i="2"/>
  <c r="H4" i="4" l="1"/>
  <c r="E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<sst xmlns="http://schemas.openxmlformats.org/spreadsheetml/2006/main" count="1874" uniqueCount="405">
  <si>
    <t>First Name</t>
  </si>
  <si>
    <t>Last Name</t>
  </si>
  <si>
    <t>Candidate Name</t>
  </si>
  <si>
    <t>DOB</t>
  </si>
  <si>
    <t>Coustmer ID</t>
  </si>
  <si>
    <t>Mail ID</t>
  </si>
  <si>
    <t>Phone Number</t>
  </si>
  <si>
    <t>ID Proof</t>
  </si>
  <si>
    <t>ID Number</t>
  </si>
  <si>
    <t>Gender</t>
  </si>
  <si>
    <t>Age</t>
  </si>
  <si>
    <t>Street Name</t>
  </si>
  <si>
    <t>Door No</t>
  </si>
  <si>
    <t>District Name</t>
  </si>
  <si>
    <t>State Name</t>
  </si>
  <si>
    <t>Coustmer Address Details</t>
  </si>
  <si>
    <t>S.no</t>
  </si>
  <si>
    <t>Room Number</t>
  </si>
  <si>
    <t>Room Type</t>
  </si>
  <si>
    <t>Floor</t>
  </si>
  <si>
    <t>Bed Type</t>
  </si>
  <si>
    <t>Price per day</t>
  </si>
  <si>
    <t>Max occupancy</t>
  </si>
  <si>
    <t>AC/Non AC</t>
  </si>
  <si>
    <t>Status</t>
  </si>
  <si>
    <t>Coustmer Room Details</t>
  </si>
  <si>
    <t>No.of Days</t>
  </si>
  <si>
    <t>Booking ID</t>
  </si>
  <si>
    <t>Check-in-Date</t>
  </si>
  <si>
    <t>Check-out-date</t>
  </si>
  <si>
    <t>Order Id</t>
  </si>
  <si>
    <t>Room No</t>
  </si>
  <si>
    <t>Food ID</t>
  </si>
  <si>
    <t>Food Name</t>
  </si>
  <si>
    <t>Quantity</t>
  </si>
  <si>
    <t>Price</t>
  </si>
  <si>
    <t>Total Amount</t>
  </si>
  <si>
    <t>Order Date</t>
  </si>
  <si>
    <t>Coustmer Food Details</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</si>
  <si>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</si>
  <si>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</si>
  <si>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</si>
  <si>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</si>
  <si>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</si>
  <si>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</si>
  <si>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</si>
  <si>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</si>
  <si>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</si>
  <si>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</si>
  <si>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</si>
  <si>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</si>
  <si>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</si>
  <si>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</si>
  <si>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</si>
  <si>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</si>
  <si>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</si>
  <si>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</si>
  <si>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</si>
  <si>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</si>
  <si>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</si>
  <si>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</si>
  <si>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</si>
  <si>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</si>
  <si>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</si>
  <si>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</si>
  <si>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</si>
  <si>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</si>
  <si>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</si>
  <si>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</si>
  <si>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</si>
  <si>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</si>
  <si>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</si>
  <si>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</si>
  <si>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</si>
  <si>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</si>
  <si>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</si>
  <si>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</si>
  <si>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</si>
  <si>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</si>
  <si>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</si>
  <si>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</si>
  <si>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</si>
  <si>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</si>
  <si>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</si>
  <si>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</si>
  <si>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</si>
  <si>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</si>
  <si>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</si>
  <si>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</si>
  <si>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B001</t>
  </si>
  <si>
    <t>B002</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</si>
  <si>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</si>
  <si>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</si>
  <si>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</si>
  <si>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</si>
  <si>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</si>
  <si>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</si>
  <si>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</si>
  <si>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</si>
  <si>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</si>
  <si>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</si>
  <si>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</si>
  <si>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</si>
  <si>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</si>
  <si>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</si>
  <si>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</si>
  <si>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</si>
  <si>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</si>
  <si>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</si>
  <si>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</si>
  <si>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</si>
  <si>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</si>
  <si>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</si>
  <si>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</si>
  <si>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</si>
  <si>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</si>
  <si>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</si>
  <si>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</si>
  <si>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</si>
  <si>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</si>
  <si>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</si>
  <si>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</si>
  <si>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</si>
  <si>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</si>
  <si>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</si>
  <si>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</si>
  <si>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</si>
  <si>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</si>
  <si>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</si>
  <si>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</si>
  <si>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</si>
  <si>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</si>
  <si>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</si>
  <si>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</si>
  <si>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</si>
  <si>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</si>
  <si>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</si>
  <si>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</si>
  <si>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</si>
  <si>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Madhu</t>
  </si>
  <si>
    <t>Sree</t>
  </si>
  <si>
    <t>Female</t>
  </si>
  <si>
    <t>Adharcard</t>
  </si>
  <si>
    <t>Sevenhills  Colony</t>
  </si>
  <si>
    <t>Anantapur</t>
  </si>
  <si>
    <t>Andhra Pradesh</t>
  </si>
  <si>
    <t>Gooty</t>
  </si>
  <si>
    <t>R102</t>
  </si>
  <si>
    <t>Single</t>
  </si>
  <si>
    <t>Single Bed</t>
  </si>
  <si>
    <t>AC</t>
  </si>
  <si>
    <t>Double</t>
  </si>
  <si>
    <t>Double Bed</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</si>
  <si>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</si>
  <si>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</si>
  <si>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</si>
  <si>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</si>
  <si>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</si>
  <si>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</si>
  <si>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</si>
  <si>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</si>
  <si>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</si>
  <si>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</si>
  <si>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</si>
  <si>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</si>
  <si>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</si>
  <si>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</si>
  <si>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</si>
  <si>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</si>
  <si>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</si>
  <si>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</si>
  <si>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</si>
  <si>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</si>
  <si>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</si>
  <si>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</si>
  <si>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</si>
  <si>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</si>
  <si>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</si>
  <si>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</si>
  <si>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</si>
  <si>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</si>
  <si>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</si>
  <si>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</si>
  <si>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</si>
  <si>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</si>
  <si>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</si>
  <si>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</si>
  <si>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</si>
  <si>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</si>
  <si>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</si>
  <si>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</si>
  <si>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</si>
  <si>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</si>
  <si>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</si>
  <si>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t>R144</t>
  </si>
  <si>
    <t>R145</t>
  </si>
  <si>
    <t>R146</t>
  </si>
  <si>
    <t>R147</t>
  </si>
  <si>
    <t>R148</t>
  </si>
  <si>
    <t>R149</t>
  </si>
  <si>
    <t>R150</t>
  </si>
  <si>
    <t>R151</t>
  </si>
  <si>
    <t>O11</t>
  </si>
  <si>
    <t>O22</t>
  </si>
  <si>
    <t>O33</t>
  </si>
  <si>
    <t>O44</t>
  </si>
  <si>
    <t>O55</t>
  </si>
  <si>
    <t>O12</t>
  </si>
  <si>
    <t>O13</t>
  </si>
  <si>
    <t>O14</t>
  </si>
  <si>
    <t>O15</t>
  </si>
  <si>
    <t>O16</t>
  </si>
  <si>
    <t>O17</t>
  </si>
  <si>
    <t>O18</t>
  </si>
  <si>
    <t>O19</t>
  </si>
  <si>
    <t>O20</t>
  </si>
  <si>
    <t>O21</t>
  </si>
  <si>
    <t>O23</t>
  </si>
  <si>
    <t>O24</t>
  </si>
  <si>
    <t>O25</t>
  </si>
  <si>
    <t>O26</t>
  </si>
  <si>
    <t>O27</t>
  </si>
  <si>
    <t>O28</t>
  </si>
  <si>
    <t>O29</t>
  </si>
  <si>
    <t>O30</t>
  </si>
  <si>
    <t>O31</t>
  </si>
  <si>
    <t>O32</t>
  </si>
  <si>
    <t>O34</t>
  </si>
  <si>
    <t>O35</t>
  </si>
  <si>
    <t>O36</t>
  </si>
  <si>
    <t>O37</t>
  </si>
  <si>
    <t>O38</t>
  </si>
  <si>
    <t>O39</t>
  </si>
  <si>
    <t>O40</t>
  </si>
  <si>
    <t>O41</t>
  </si>
  <si>
    <t>O42</t>
  </si>
  <si>
    <t>O43</t>
  </si>
  <si>
    <t>O45</t>
  </si>
  <si>
    <t>O46</t>
  </si>
  <si>
    <t>O47</t>
  </si>
  <si>
    <t>O48</t>
  </si>
  <si>
    <t>O49</t>
  </si>
  <si>
    <t>O50</t>
  </si>
  <si>
    <t>O51</t>
  </si>
  <si>
    <t>O52</t>
  </si>
  <si>
    <t>O53</t>
  </si>
  <si>
    <t>O54</t>
  </si>
  <si>
    <t>O56</t>
  </si>
  <si>
    <t>O57</t>
  </si>
  <si>
    <t>O58</t>
  </si>
  <si>
    <t>O59</t>
  </si>
  <si>
    <t>O60</t>
  </si>
  <si>
    <t>F01</t>
  </si>
  <si>
    <t>F02</t>
  </si>
  <si>
    <t>F03</t>
  </si>
  <si>
    <t>F04</t>
  </si>
  <si>
    <t>F05</t>
  </si>
  <si>
    <t>F06</t>
  </si>
  <si>
    <t>F07</t>
  </si>
  <si>
    <t>Food Type</t>
  </si>
  <si>
    <t>Non-Veg</t>
  </si>
  <si>
    <t>Order Type</t>
  </si>
  <si>
    <t>Dine-in</t>
  </si>
  <si>
    <t>Veg</t>
  </si>
  <si>
    <t>Takeaway</t>
  </si>
  <si>
    <t>Floor No</t>
  </si>
  <si>
    <t>Check-Out-Date</t>
  </si>
  <si>
    <t>Room Amount</t>
  </si>
  <si>
    <t>Food Amount</t>
  </si>
  <si>
    <t>Total Bill</t>
  </si>
  <si>
    <t>Coustmer Total Bill</t>
  </si>
  <si>
    <t>Divya</t>
  </si>
  <si>
    <t>Chandrika</t>
  </si>
  <si>
    <t xml:space="preserve">Hima </t>
  </si>
  <si>
    <t>Priya</t>
  </si>
  <si>
    <t xml:space="preserve">Vishnu </t>
  </si>
  <si>
    <t>Jaya</t>
  </si>
  <si>
    <t>Ashok</t>
  </si>
  <si>
    <t>Kumar</t>
  </si>
  <si>
    <t>Uday</t>
  </si>
  <si>
    <t>Simha</t>
  </si>
  <si>
    <t>Rupa</t>
  </si>
  <si>
    <t>Nandhini</t>
  </si>
  <si>
    <t>Bhuvan</t>
  </si>
  <si>
    <t>Sai</t>
  </si>
  <si>
    <t>Kiran</t>
  </si>
  <si>
    <t>Sowjanya</t>
  </si>
  <si>
    <t>Gnana</t>
  </si>
  <si>
    <t>Chandhana</t>
  </si>
  <si>
    <t>Rahul</t>
  </si>
  <si>
    <t>Virat</t>
  </si>
  <si>
    <t>Kohili</t>
  </si>
  <si>
    <t>Prem</t>
  </si>
  <si>
    <t>Dinesh</t>
  </si>
  <si>
    <t>Reddy</t>
  </si>
  <si>
    <t>Prakash</t>
  </si>
  <si>
    <t>Nadhini</t>
  </si>
  <si>
    <t>Royal</t>
  </si>
  <si>
    <t>Naveen</t>
  </si>
  <si>
    <t xml:space="preserve">Hema </t>
  </si>
  <si>
    <t>Latha</t>
  </si>
  <si>
    <t xml:space="preserve">Hari </t>
  </si>
  <si>
    <t>Lashmi</t>
  </si>
  <si>
    <t>Lakshmi</t>
  </si>
  <si>
    <t>Devi</t>
  </si>
  <si>
    <t>Surya</t>
  </si>
  <si>
    <t>Eshwar</t>
  </si>
  <si>
    <t>Chaitanya</t>
  </si>
  <si>
    <t>Sohan</t>
  </si>
  <si>
    <t>Madhavi</t>
  </si>
  <si>
    <t>Maha</t>
  </si>
  <si>
    <t>nivas</t>
  </si>
  <si>
    <t>Supriya</t>
  </si>
  <si>
    <t>Narayana</t>
  </si>
  <si>
    <t>Swami</t>
  </si>
  <si>
    <t>Hitha</t>
  </si>
  <si>
    <t>Pawan</t>
  </si>
  <si>
    <t>Kalyan</t>
  </si>
  <si>
    <t>Padala</t>
  </si>
  <si>
    <t>Suman</t>
  </si>
  <si>
    <t>Shetty</t>
  </si>
  <si>
    <t>Rithu</t>
  </si>
  <si>
    <t>Chowdary</t>
  </si>
  <si>
    <t>Tanuja</t>
  </si>
  <si>
    <t>Puttaswamy</t>
  </si>
  <si>
    <t>Uppala</t>
  </si>
  <si>
    <t>Balu</t>
  </si>
  <si>
    <t>Bappatla</t>
  </si>
  <si>
    <t>Durga</t>
  </si>
  <si>
    <t>Bala</t>
  </si>
  <si>
    <t>Subryamanyam</t>
  </si>
  <si>
    <t>Male</t>
  </si>
  <si>
    <t>PANCARD</t>
  </si>
  <si>
    <t>AAAAA1234A</t>
  </si>
  <si>
    <t>BBBBB456B</t>
  </si>
  <si>
    <t>CCCCC324C</t>
  </si>
  <si>
    <t>VACGF876B</t>
  </si>
  <si>
    <t>KLYHT654N</t>
  </si>
  <si>
    <t>MNJJK987Y</t>
  </si>
  <si>
    <t>MKLOI999K</t>
  </si>
  <si>
    <t>MNJKL879L</t>
  </si>
  <si>
    <t>Sai Nagar</t>
  </si>
  <si>
    <t xml:space="preserve">KalyanDurgam </t>
  </si>
  <si>
    <t>Sai Nagar,Anantapur</t>
  </si>
  <si>
    <t>2nd Cross</t>
  </si>
  <si>
    <t>Rudrampet</t>
  </si>
  <si>
    <t>2nd Cross,Anantapur</t>
  </si>
  <si>
    <t>Jesus Nagar</t>
  </si>
  <si>
    <t>Hyderabad</t>
  </si>
  <si>
    <t>Jesus Nagar,Anantapur</t>
  </si>
  <si>
    <t>Naik Nagar</t>
  </si>
  <si>
    <t>Pamidi</t>
  </si>
  <si>
    <t>Naik Nagar,Anantapur</t>
  </si>
  <si>
    <t xml:space="preserve">Sai Nagar </t>
  </si>
  <si>
    <t>KalyanDurgam Bypass</t>
  </si>
  <si>
    <t>KalyanDurgam Bypass,Anantapur</t>
  </si>
  <si>
    <t>1st Road</t>
  </si>
  <si>
    <t>ChennaKothapalli</t>
  </si>
  <si>
    <t>1st Road,Anantapur</t>
  </si>
  <si>
    <t>Dharmavaram</t>
  </si>
  <si>
    <t>HousingBoard Colony</t>
  </si>
  <si>
    <t>HousingBoard Colony,Anantapur</t>
  </si>
  <si>
    <t>Sevenhills  Colony,Anantapur</t>
  </si>
  <si>
    <t>Corresponding Address</t>
  </si>
  <si>
    <t>Premanent Address</t>
  </si>
  <si>
    <t>Sevenhills Colony,Anantapur</t>
  </si>
  <si>
    <t>Deluxe</t>
  </si>
  <si>
    <t>Suite</t>
  </si>
  <si>
    <t>Queen Bed</t>
  </si>
  <si>
    <t>King Bed</t>
  </si>
  <si>
    <t>Non-AC</t>
  </si>
  <si>
    <t>Row Labels</t>
  </si>
  <si>
    <t>Grand Total</t>
  </si>
  <si>
    <t>4000</t>
  </si>
  <si>
    <t>5000</t>
  </si>
  <si>
    <t>2000</t>
  </si>
  <si>
    <t>6000</t>
  </si>
  <si>
    <t>Mar</t>
  </si>
  <si>
    <t>May</t>
  </si>
  <si>
    <t>Aug</t>
  </si>
  <si>
    <t>Sep</t>
  </si>
  <si>
    <t>Dec</t>
  </si>
  <si>
    <t>Feb</t>
  </si>
  <si>
    <t>Apr</t>
  </si>
  <si>
    <t>Jun</t>
  </si>
  <si>
    <t>Sum of No.of Days</t>
  </si>
  <si>
    <t>Biryani</t>
  </si>
  <si>
    <t>Puri</t>
  </si>
  <si>
    <t>Mutton Biryani</t>
  </si>
  <si>
    <t>Mutton Soup</t>
  </si>
  <si>
    <t>Veg Biryani</t>
  </si>
  <si>
    <t>Panner Biryani</t>
  </si>
  <si>
    <t>Mushroom Biryani</t>
  </si>
  <si>
    <t>Sum of Quantity</t>
  </si>
  <si>
    <t>1000</t>
  </si>
  <si>
    <t>Sum of Total Amount</t>
  </si>
  <si>
    <t>Sum of Floor No</t>
  </si>
  <si>
    <t>Sum of Food Amount</t>
  </si>
  <si>
    <t>Sum of Total Bill</t>
  </si>
  <si>
    <t>Book Id</t>
  </si>
  <si>
    <t>Book ID</t>
  </si>
  <si>
    <t>Check-out-Date</t>
  </si>
  <si>
    <t xml:space="preserve"> Food Details</t>
  </si>
  <si>
    <t xml:space="preserve"> Room Details</t>
  </si>
  <si>
    <t>Coustmer Personal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</si>
</sst>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rgb="FFFF0000"/>
      <name val="Aptos Narrow"/>
      <family val="2"/>
      <scheme val="minor"/>
    </font>
    <font>
      <sz val="11"/>
      <color theme="1"/>
      <name val="Aptos Narrow"/>
      <family val="2"/>
      <scheme val="minor"/>
    </font>
    <font>
      <b/>
      <sz val="11"/>
      <color theme="0"/>
      <name val="Aptos Narrow"/>
      <family val="2"/>
      <scheme val="minor"/>
    </font>
    <font>
      <sz val="8"/>
      <name val="Aptos Narrow"/>
      <family val="2"/>
      <scheme val="minor"/>
    </font>
    <font>
      <sz val="11"/>
      <color rgb="FFFF9966"/>
      <name val="Aptos Narrow"/>
      <family val="2"/>
      <scheme val="minor"/>
    </font>
  </fonts>
  <fills count="8">
    <fill>
      <patternFill patternType="none"/>
    </fill>
    <fill>
      <patternFill patternType="gray125"/>
    </fill>
    <fill>
      <patternFill patternType="solid">
        <fgColor rgb="FFA5A5A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tint="0.59999389629810485"/>
        <bgColor indexed="65"/>
      </patternFill>
    </fill>
    <fill>
      <patternFill patternType="solid">
        <fgColor theme="8" tint="0.59999389629810485"/>
        <bgColor indexed="65"/>
      </patternFill>
    </fill>
    <fill>
      <patternFill patternType="solid">
        <fgColor rgb="FFFFCC99"/>
        <bgColor indexed="64"/>
      </patternFill>
    </fill>
  </fills>
  <borders count="12">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double">
        <color rgb="FF3F3F3F"/>
      </left>
      <right/>
      <top style="double">
        <color rgb="FF3F3F3F"/>
      </top>
      <bottom style="double">
        <color rgb="FF3F3F3F"/>
      </bottom>
      <diagonal/>
    </border>
  </borders>
  <cellStyleXfs count="7">
    <xf numFmtId="0" fontId="0" fillId="0" borderId="0"/>
    <xf numFmtId="0" fontId="4" fillId="2" borderId="1" applyNumberFormat="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2" fillId="0" borderId="0">
      <alignment horizontal="center"/>
    </xf>
  </cellStyleXfs>
  <cellXfs count="45">
    <xf numFmtId="0" fontId="0" fillId="0" borderId="0" xfId="0"/>
    <xf numFmtId="0" fontId="0" fillId="0" borderId="0" xfId="0" applyAlignment="1">
      <alignment horizontal="center"/>
    </xf>
    <xf numFmtId="0" fontId="3" fillId="4" borderId="2" xfId="3" applyBorder="1" applyAlignment="1">
      <alignment horizontal="center"/>
    </xf>
    <xf numFmtId="0" fontId="1" fillId="0" borderId="2" xfId="0" applyFont="1" applyBorder="1" applyAlignment="1">
      <alignment horizontal="center"/>
    </xf>
    <xf numFmtId="0" fontId="0" fillId="0" borderId="2" xfId="0" applyBorder="1"/>
    <xf numFmtId="0" fontId="3" fillId="3" borderId="2" xfId="2" applyBorder="1" applyAlignment="1">
      <alignment horizontal="center"/>
    </xf>
    <xf numFmtId="14" fontId="3" fillId="3" borderId="2" xfId="2" applyNumberFormat="1" applyBorder="1" applyAlignment="1">
      <alignment horizontal="center"/>
    </xf>
    <xf numFmtId="0" fontId="3" fillId="3" borderId="2" xfId="2" applyBorder="1"/>
    <xf numFmtId="14" fontId="3" fillId="3" borderId="2" xfId="2" applyNumberFormat="1" applyBorder="1"/>
    <xf numFmtId="14" fontId="3" fillId="4" borderId="2" xfId="3" applyNumberFormat="1" applyBorder="1" applyAlignment="1">
      <alignment horizontal="center"/>
    </xf>
    <xf numFmtId="0" fontId="3" fillId="5" borderId="2" xfId="4" applyBorder="1" applyAlignment="1">
      <alignment horizontal="center"/>
    </xf>
    <xf numFmtId="14" fontId="3" fillId="5" borderId="2" xfId="4" applyNumberFormat="1" applyBorder="1" applyAlignment="1">
      <alignment horizontal="center"/>
    </xf>
    <xf numFmtId="0" fontId="3" fillId="6" borderId="2" xfId="5" applyBorder="1" applyAlignment="1">
      <alignment horizontal="center"/>
    </xf>
    <xf numFmtId="14" fontId="3" fillId="6" borderId="2" xfId="5" applyNumberForma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3" fillId="5" borderId="3" xfId="4" applyBorder="1" applyAlignment="1">
      <alignment horizontal="center"/>
    </xf>
    <xf numFmtId="0" fontId="3" fillId="5" borderId="4" xfId="4"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3" fillId="5" borderId="8" xfId="4" applyBorder="1" applyAlignment="1">
      <alignment horizontal="center"/>
    </xf>
    <xf numFmtId="0" fontId="3" fillId="5" borderId="9" xfId="4" applyBorder="1" applyAlignment="1">
      <alignment horizontal="center"/>
    </xf>
    <xf numFmtId="14" fontId="3" fillId="5" borderId="9" xfId="4" applyNumberFormat="1" applyBorder="1" applyAlignment="1">
      <alignment horizontal="center"/>
    </xf>
    <xf numFmtId="0" fontId="3" fillId="5" borderId="10" xfId="4" applyBorder="1" applyAlignment="1">
      <alignment horizontal="center"/>
    </xf>
    <xf numFmtId="0" fontId="3" fillId="4" borderId="3" xfId="3" applyBorder="1" applyAlignment="1">
      <alignment horizontal="center"/>
    </xf>
    <xf numFmtId="14" fontId="3" fillId="4" borderId="4" xfId="3" applyNumberFormat="1" applyBorder="1" applyAlignment="1">
      <alignment horizontal="center"/>
    </xf>
    <xf numFmtId="0" fontId="3" fillId="4" borderId="8" xfId="3" applyBorder="1" applyAlignment="1">
      <alignment horizontal="center"/>
    </xf>
    <xf numFmtId="0" fontId="3" fillId="4" borderId="9" xfId="3" applyBorder="1" applyAlignment="1">
      <alignment horizontal="center"/>
    </xf>
    <xf numFmtId="14" fontId="3" fillId="4" borderId="10" xfId="3" applyNumberFormat="1" applyBorder="1" applyAlignment="1">
      <alignment horizontal="center"/>
    </xf>
    <xf numFmtId="0" fontId="2" fillId="0" borderId="2" xfId="0" applyFont="1" applyBorder="1"/>
    <xf numFmtId="0" fontId="2" fillId="0" borderId="2" xfId="0" applyFont="1" applyBorder="1" applyAlignment="1">
      <alignment horizontal="center"/>
    </xf>
    <xf numFmtId="0" fontId="0" fillId="0" borderId="2" xfId="0" applyBorder="1" applyAlignment="1">
      <alignment horizontal="center"/>
    </xf>
    <xf numFmtId="0" fontId="6" fillId="0" borderId="0" xfId="0" applyFont="1"/>
    <xf numFmtId="0" fontId="6" fillId="7" borderId="0" xfId="0" applyFont="1" applyFill="1"/>
    <xf numFmtId="0" fontId="4" fillId="2" borderId="1" xfId="1" applyAlignment="1">
      <alignment horizontal="center"/>
    </xf>
    <xf numFmtId="0" fontId="4" fillId="2" borderId="11" xfId="1" applyBorder="1" applyAlignment="1">
      <alignment horizontal="center"/>
    </xf>
    <xf numFmtId="0" fontId="0" fillId="0" borderId="0" xfId="0" applyAlignment="1">
      <alignment horizontal="center"/>
    </xf>
    <xf numFmtId="0" fontId="4" fillId="2" borderId="2" xfId="1" applyBorder="1" applyAlignment="1">
      <alignment horizontal="center"/>
    </xf>
    <xf numFmtId="0" fontId="1" fillId="0" borderId="2" xfId="0" applyFont="1" applyBorder="1" applyAlignment="1">
      <alignment horizontal="center"/>
    </xf>
    <xf numFmtId="0" fontId="6" fillId="7" borderId="0" xfId="0" applyFont="1" applyFill="1" applyAlignment="1">
      <alignment horizontal="center"/>
    </xf>
  </cellXfs>
  <cellStyles count="7">
    <cellStyle name="20% - Accent2" xfId="3" builtinId="34"/>
    <cellStyle name="40% - Accent1" xfId="2" builtinId="31"/>
    <cellStyle name="40% - Accent3" xfId="4" builtinId="39"/>
    <cellStyle name="40% - Accent5" xfId="5" builtinId="47"/>
    <cellStyle name="Check Cell" xfId="1" builtinId="23"/>
    <cellStyle name="Normal" xfId="0" builtinId="0"/>
    <cellStyle name="Style 1" xfId="6" xr:uid="{63747389-DC79-43A3-B528-A7F629DC9DC4}"/>
  </cellStyles>
  <dxfs count="40">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C000"/>
        </patternFill>
      </fill>
    </dxf>
    <dxf>
      <fill>
        <patternFill>
          <bgColor rgb="FFFFC000"/>
        </patternFill>
      </fill>
    </dxf>
    <dxf>
      <font>
        <color rgb="FF006100"/>
      </font>
      <fill>
        <patternFill>
          <bgColor rgb="FFC6EFCE"/>
        </patternFill>
      </fill>
    </dxf>
    <dxf>
      <numFmt numFmtId="19" formatCode="dd/mm/yyyy"/>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CC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Management.xlsx]Dash Board-1!PivotTable4</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 Board-1'!$B$3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'Dash Board-1'!$A$4:$A$61</c:f>
              <c:multiLvlStrCache>
                <c:ptCount val="37"/>
                <c:lvl>
                  <c:pt idx="0">
                    <c:v>Mar</c:v>
                  </c:pt>
                  <c:pt idx="1">
                    <c:v>May</c:v>
                  </c:pt>
                  <c:pt idx="2">
                    <c:v>Aug</c:v>
                  </c:pt>
                  <c:pt idx="3">
                    <c:v>Sep</c:v>
                  </c:pt>
                  <c:pt idx="4">
                    <c:v>Dec</c:v>
                  </c:pt>
                  <c:pt idx="5">
                    <c:v>Mar</c:v>
                  </c:pt>
                  <c:pt idx="6">
                    <c:v>May</c:v>
                  </c:pt>
                  <c:pt idx="7">
                    <c:v>Aug</c:v>
                  </c:pt>
                  <c:pt idx="8">
                    <c:v>Dec</c:v>
                  </c:pt>
                  <c:pt idx="9">
                    <c:v>Feb</c:v>
                  </c:pt>
                  <c:pt idx="10">
                    <c:v>Mar</c:v>
                  </c:pt>
                  <c:pt idx="11">
                    <c:v>Apr</c:v>
                  </c:pt>
                  <c:pt idx="12">
                    <c:v>May</c:v>
                  </c:pt>
                  <c:pt idx="13">
                    <c:v>Jun</c:v>
                  </c:pt>
                  <c:pt idx="14">
                    <c:v>Sep</c:v>
                  </c:pt>
                  <c:pt idx="15">
                    <c:v>Feb</c:v>
                  </c:pt>
                  <c:pt idx="16">
                    <c:v>Mar</c:v>
                  </c:pt>
                  <c:pt idx="17">
                    <c:v>Apr</c:v>
                  </c:pt>
                  <c:pt idx="18">
                    <c:v>Jun</c:v>
                  </c:pt>
                  <c:pt idx="19">
                    <c:v>Sep</c:v>
                  </c:pt>
                  <c:pt idx="20">
                    <c:v>Jun</c:v>
                  </c:pt>
                  <c:pt idx="21">
                    <c:v>Mar</c:v>
                  </c:pt>
                  <c:pt idx="22">
                    <c:v>Apr</c:v>
                  </c:pt>
                  <c:pt idx="23">
                    <c:v>May</c:v>
                  </c:pt>
                  <c:pt idx="24">
                    <c:v>Aug</c:v>
                  </c:pt>
                  <c:pt idx="25">
                    <c:v>Dec</c:v>
                  </c:pt>
                  <c:pt idx="26">
                    <c:v>Feb</c:v>
                  </c:pt>
                  <c:pt idx="27">
                    <c:v>Mar</c:v>
                  </c:pt>
                  <c:pt idx="28">
                    <c:v>Apr</c:v>
                  </c:pt>
                  <c:pt idx="29">
                    <c:v>Jun</c:v>
                  </c:pt>
                  <c:pt idx="30">
                    <c:v>Sep</c:v>
                  </c:pt>
                  <c:pt idx="31">
                    <c:v>Feb</c:v>
                  </c:pt>
                  <c:pt idx="32">
                    <c:v>Mar</c:v>
                  </c:pt>
                  <c:pt idx="33">
                    <c:v>Apr</c:v>
                  </c:pt>
                  <c:pt idx="34">
                    <c:v>Jun</c:v>
                  </c:pt>
                  <c:pt idx="35">
                    <c:v>Aug</c:v>
                  </c:pt>
                  <c:pt idx="36">
                    <c:v>Sep</c:v>
                  </c:pt>
                </c:lvl>
                <c:lvl>
                  <c:pt idx="0">
                    <c:v>4000</c:v>
                  </c:pt>
                  <c:pt idx="5">
                    <c:v>5000</c:v>
                  </c:pt>
                  <c:pt idx="9">
                    <c:v>4000</c:v>
                  </c:pt>
                  <c:pt idx="15">
                    <c:v>2000</c:v>
                  </c:pt>
                  <c:pt idx="20">
                    <c:v>5000</c:v>
                  </c:pt>
                  <c:pt idx="21">
                    <c:v>2000</c:v>
                  </c:pt>
                  <c:pt idx="26">
                    <c:v>4000</c:v>
                  </c:pt>
                  <c:pt idx="31">
                    <c:v>6000</c:v>
                  </c:pt>
                </c:lvl>
                <c:lvl>
                  <c:pt idx="0">
                    <c:v>Double Bed</c:v>
                  </c:pt>
                  <c:pt idx="5">
                    <c:v>Queen Bed</c:v>
                  </c:pt>
                  <c:pt idx="9">
                    <c:v>Double Bed</c:v>
                  </c:pt>
                  <c:pt idx="15">
                    <c:v>Single Bed</c:v>
                  </c:pt>
                  <c:pt idx="20">
                    <c:v>Queen Bed</c:v>
                  </c:pt>
                  <c:pt idx="21">
                    <c:v>Single Bed</c:v>
                  </c:pt>
                  <c:pt idx="26">
                    <c:v>Double Bed</c:v>
                  </c:pt>
                  <c:pt idx="31">
                    <c:v>King Bed</c:v>
                  </c:pt>
                </c:lvl>
                <c:lvl>
                  <c:pt idx="0">
                    <c:v>Deluxe</c:v>
                  </c:pt>
                  <c:pt idx="9">
                    <c:v>Double</c:v>
                  </c:pt>
                  <c:pt idx="20">
                    <c:v>Single</c:v>
                  </c:pt>
                  <c:pt idx="26">
                    <c:v>Suite</c:v>
                  </c:pt>
                </c:lvl>
              </c:multiLvlStrCache>
            </c:multiLvlStrRef>
          </c:cat>
          <c:val>
            <c:numRef>
              <c:f>'Dash Board-1'!$B$4:$B$61</c:f>
              <c:numCache>
                <c:formatCode>General</c:formatCode>
                <c:ptCount val="37"/>
                <c:pt idx="0">
                  <c:v>2</c:v>
                </c:pt>
                <c:pt idx="1">
                  <c:v>1</c:v>
                </c:pt>
                <c:pt idx="2">
                  <c:v>2</c:v>
                </c:pt>
                <c:pt idx="3">
                  <c:v>0</c:v>
                </c:pt>
                <c:pt idx="4">
                  <c:v>2</c:v>
                </c:pt>
                <c:pt idx="5">
                  <c:v>2</c:v>
                </c:pt>
                <c:pt idx="6">
                  <c:v>1</c:v>
                </c:pt>
                <c:pt idx="7">
                  <c:v>3</c:v>
                </c:pt>
                <c:pt idx="8">
                  <c:v>2</c:v>
                </c:pt>
                <c:pt idx="9">
                  <c:v>0</c:v>
                </c:pt>
                <c:pt idx="10">
                  <c:v>2</c:v>
                </c:pt>
                <c:pt idx="11">
                  <c:v>0</c:v>
                </c:pt>
                <c:pt idx="12">
                  <c:v>1</c:v>
                </c:pt>
                <c:pt idx="13">
                  <c:v>1</c:v>
                </c:pt>
                <c:pt idx="14">
                  <c:v>0</c:v>
                </c:pt>
                <c:pt idx="15">
                  <c:v>0</c:v>
                </c:pt>
                <c:pt idx="16">
                  <c:v>2</c:v>
                </c:pt>
                <c:pt idx="17">
                  <c:v>0</c:v>
                </c:pt>
                <c:pt idx="18">
                  <c:v>1</c:v>
                </c:pt>
                <c:pt idx="19">
                  <c:v>0</c:v>
                </c:pt>
                <c:pt idx="20">
                  <c:v>1</c:v>
                </c:pt>
                <c:pt idx="21">
                  <c:v>6</c:v>
                </c:pt>
                <c:pt idx="22">
                  <c:v>0</c:v>
                </c:pt>
                <c:pt idx="23">
                  <c:v>2</c:v>
                </c:pt>
                <c:pt idx="24">
                  <c:v>4</c:v>
                </c:pt>
                <c:pt idx="25">
                  <c:v>6</c:v>
                </c:pt>
                <c:pt idx="26">
                  <c:v>0</c:v>
                </c:pt>
                <c:pt idx="27">
                  <c:v>2</c:v>
                </c:pt>
                <c:pt idx="28">
                  <c:v>0</c:v>
                </c:pt>
                <c:pt idx="29">
                  <c:v>1</c:v>
                </c:pt>
                <c:pt idx="30">
                  <c:v>0</c:v>
                </c:pt>
                <c:pt idx="31">
                  <c:v>0</c:v>
                </c:pt>
                <c:pt idx="32">
                  <c:v>4</c:v>
                </c:pt>
                <c:pt idx="33">
                  <c:v>0</c:v>
                </c:pt>
                <c:pt idx="34">
                  <c:v>1</c:v>
                </c:pt>
                <c:pt idx="35">
                  <c:v>1</c:v>
                </c:pt>
                <c:pt idx="36">
                  <c:v>0</c:v>
                </c:pt>
              </c:numCache>
            </c:numRef>
          </c:val>
          <c:smooth val="0"/>
          <c:extLst>
            <c:ext xmlns:c16="http://schemas.microsoft.com/office/drawing/2014/chart" uri="{C3380CC4-5D6E-409C-BE32-E72D297353CC}">
              <c16:uniqueId val="{00000000-8785-4BA8-9B6A-592A9617665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42229168"/>
        <c:axId val="1242231088"/>
      </c:lineChart>
      <c:catAx>
        <c:axId val="1242229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242231088"/>
        <c:crosses val="autoZero"/>
        <c:auto val="1"/>
        <c:lblAlgn val="ctr"/>
        <c:lblOffset val="100"/>
        <c:noMultiLvlLbl val="0"/>
      </c:catAx>
      <c:valAx>
        <c:axId val="1242231088"/>
        <c:scaling>
          <c:orientation val="minMax"/>
        </c:scaling>
        <c:delete val="1"/>
        <c:axPos val="l"/>
        <c:numFmt formatCode="General" sourceLinked="1"/>
        <c:majorTickMark val="none"/>
        <c:minorTickMark val="none"/>
        <c:tickLblPos val="nextTo"/>
        <c:crossAx val="124222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Management.xlsx]Dash Board-2!PivotTable5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 Board-2'!$B$3</c:f>
              <c:strCache>
                <c:ptCount val="1"/>
                <c:pt idx="0">
                  <c:v>Sum of Quantity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'Dash Board-2'!$A$4:$A$49</c:f>
              <c:multiLvlStrCache>
                <c:ptCount val="12"/>
                <c:lvl>
                  <c:pt idx="0">
                    <c:v>Takeaway</c:v>
                  </c:pt>
                  <c:pt idx="1">
                    <c:v>Dine-in</c:v>
                  </c:pt>
                  <c:pt idx="2">
                    <c:v>Takeaway</c:v>
                  </c:pt>
                  <c:pt idx="3">
                    <c:v>Dine-in</c:v>
                  </c:pt>
                  <c:pt idx="4">
                    <c:v>Takeaway</c:v>
                  </c:pt>
                  <c:pt idx="5">
                    <c:v>Dine-in</c:v>
                  </c:pt>
                  <c:pt idx="6">
                    <c:v>Dine-in</c:v>
                  </c:pt>
                  <c:pt idx="7">
                    <c:v>Takeaway</c:v>
                  </c:pt>
                  <c:pt idx="8">
                    <c:v>Takeaway</c:v>
                  </c:pt>
                  <c:pt idx="9">
                    <c:v>Dine-in</c:v>
                  </c:pt>
                  <c:pt idx="10">
                    <c:v>Takeaway</c:v>
                  </c:pt>
                  <c:pt idx="11">
                    <c:v>Dine-in</c:v>
                  </c:pt>
                </c:lvl>
                <c:lvl>
                  <c:pt idx="0">
                    <c:v>1000</c:v>
                  </c:pt>
                  <c:pt idx="1">
                    <c:v>2000</c:v>
                  </c:pt>
                  <c:pt idx="2">
                    <c:v>1000</c:v>
                  </c:pt>
                  <c:pt idx="3">
                    <c:v>2000</c:v>
                  </c:pt>
                  <c:pt idx="4">
                    <c:v>1000</c:v>
                  </c:pt>
                  <c:pt idx="5">
                    <c:v>2000</c:v>
                  </c:pt>
                  <c:pt idx="6">
                    <c:v>2000</c:v>
                  </c:pt>
                  <c:pt idx="7">
                    <c:v>1000</c:v>
                  </c:pt>
                  <c:pt idx="8">
                    <c:v>1000</c:v>
                  </c:pt>
                  <c:pt idx="9">
                    <c:v>2000</c:v>
                  </c:pt>
                  <c:pt idx="10">
                    <c:v>1000</c:v>
                  </c:pt>
                  <c:pt idx="11">
                    <c:v>2000</c:v>
                  </c:pt>
                </c:lvl>
                <c:lvl>
                  <c:pt idx="0">
                    <c:v>Biryani</c:v>
                  </c:pt>
                  <c:pt idx="2">
                    <c:v>Puri</c:v>
                  </c:pt>
                  <c:pt idx="4">
                    <c:v>Mutton Biryani</c:v>
                  </c:pt>
                  <c:pt idx="6">
                    <c:v>Mutton Soup</c:v>
                  </c:pt>
                  <c:pt idx="7">
                    <c:v>Veg Biryani</c:v>
                  </c:pt>
                  <c:pt idx="8">
                    <c:v>Panner Biryani</c:v>
                  </c:pt>
                  <c:pt idx="10">
                    <c:v>Mushroom Biryani</c:v>
                  </c:pt>
                </c:lvl>
                <c:lvl>
                  <c:pt idx="0">
                    <c:v>Non-Veg</c:v>
                  </c:pt>
                  <c:pt idx="2">
                    <c:v>Veg</c:v>
                  </c:pt>
                  <c:pt idx="4">
                    <c:v>Non-Veg</c:v>
                  </c:pt>
                  <c:pt idx="6">
                    <c:v>Non-Veg</c:v>
                  </c:pt>
                  <c:pt idx="7">
                    <c:v>Veg</c:v>
                  </c:pt>
                  <c:pt idx="8">
                    <c:v>Veg</c:v>
                  </c:pt>
                  <c:pt idx="10">
                    <c:v>Veg</c:v>
                  </c:pt>
                </c:lvl>
                <c:lvl>
                  <c:pt idx="0">
                    <c:v>F01</c:v>
                  </c:pt>
                  <c:pt idx="2">
                    <c:v>F02</c:v>
                  </c:pt>
                  <c:pt idx="4">
                    <c:v>F03</c:v>
                  </c:pt>
                  <c:pt idx="6">
                    <c:v>F04</c:v>
                  </c:pt>
                  <c:pt idx="7">
                    <c:v>F05</c:v>
                  </c:pt>
                  <c:pt idx="8">
                    <c:v>F06</c:v>
                  </c:pt>
                  <c:pt idx="10">
                    <c:v>F07</c:v>
                  </c:pt>
                </c:lvl>
              </c:multiLvlStrCache>
            </c:multiLvlStrRef>
          </c:cat>
          <c:val>
            <c:numRef>
              <c:f>'Dash Board-2'!$B$4:$B$49</c:f>
              <c:numCache>
                <c:formatCode>General</c:formatCode>
                <c:ptCount val="12"/>
                <c:pt idx="0">
                  <c:v>6</c:v>
                </c:pt>
                <c:pt idx="1">
                  <c:v>14</c:v>
                </c:pt>
                <c:pt idx="2">
                  <c:v>2</c:v>
                </c:pt>
                <c:pt idx="3">
                  <c:v>8</c:v>
                </c:pt>
                <c:pt idx="4">
                  <c:v>13</c:v>
                </c:pt>
                <c:pt idx="5">
                  <c:v>2</c:v>
                </c:pt>
                <c:pt idx="6">
                  <c:v>12</c:v>
                </c:pt>
                <c:pt idx="7">
                  <c:v>22</c:v>
                </c:pt>
                <c:pt idx="8">
                  <c:v>7</c:v>
                </c:pt>
                <c:pt idx="9">
                  <c:v>11</c:v>
                </c:pt>
                <c:pt idx="10">
                  <c:v>13</c:v>
                </c:pt>
                <c:pt idx="11">
                  <c:v>5</c:v>
                </c:pt>
              </c:numCache>
            </c:numRef>
          </c:val>
          <c:extLst>
            <c:ext xmlns:c16="http://schemas.microsoft.com/office/drawing/2014/chart" uri="{C3380CC4-5D6E-409C-BE32-E72D297353CC}">
              <c16:uniqueId val="{00000003-6DCB-415A-ACA7-C1961B4FD8DC}"/>
            </c:ext>
          </c:extLst>
        </c:ser>
        <c:ser>
          <c:idx val="1"/>
          <c:order val="1"/>
          <c:tx>
            <c:strRef>
              <c:f>'Dash Board-2'!$C$3</c:f>
              <c:strCache>
                <c:ptCount val="1"/>
                <c:pt idx="0">
                  <c:v>Sum of Total Amount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'Dash Board-2'!$A$4:$A$49</c:f>
              <c:multiLvlStrCache>
                <c:ptCount val="12"/>
                <c:lvl>
                  <c:pt idx="0">
                    <c:v>Takeaway</c:v>
                  </c:pt>
                  <c:pt idx="1">
                    <c:v>Dine-in</c:v>
                  </c:pt>
                  <c:pt idx="2">
                    <c:v>Takeaway</c:v>
                  </c:pt>
                  <c:pt idx="3">
                    <c:v>Dine-in</c:v>
                  </c:pt>
                  <c:pt idx="4">
                    <c:v>Takeaway</c:v>
                  </c:pt>
                  <c:pt idx="5">
                    <c:v>Dine-in</c:v>
                  </c:pt>
                  <c:pt idx="6">
                    <c:v>Dine-in</c:v>
                  </c:pt>
                  <c:pt idx="7">
                    <c:v>Takeaway</c:v>
                  </c:pt>
                  <c:pt idx="8">
                    <c:v>Takeaway</c:v>
                  </c:pt>
                  <c:pt idx="9">
                    <c:v>Dine-in</c:v>
                  </c:pt>
                  <c:pt idx="10">
                    <c:v>Takeaway</c:v>
                  </c:pt>
                  <c:pt idx="11">
                    <c:v>Dine-in</c:v>
                  </c:pt>
                </c:lvl>
                <c:lvl>
                  <c:pt idx="0">
                    <c:v>1000</c:v>
                  </c:pt>
                  <c:pt idx="1">
                    <c:v>2000</c:v>
                  </c:pt>
                  <c:pt idx="2">
                    <c:v>1000</c:v>
                  </c:pt>
                  <c:pt idx="3">
                    <c:v>2000</c:v>
                  </c:pt>
                  <c:pt idx="4">
                    <c:v>1000</c:v>
                  </c:pt>
                  <c:pt idx="5">
                    <c:v>2000</c:v>
                  </c:pt>
                  <c:pt idx="6">
                    <c:v>2000</c:v>
                  </c:pt>
                  <c:pt idx="7">
                    <c:v>1000</c:v>
                  </c:pt>
                  <c:pt idx="8">
                    <c:v>1000</c:v>
                  </c:pt>
                  <c:pt idx="9">
                    <c:v>2000</c:v>
                  </c:pt>
                  <c:pt idx="10">
                    <c:v>1000</c:v>
                  </c:pt>
                  <c:pt idx="11">
                    <c:v>2000</c:v>
                  </c:pt>
                </c:lvl>
                <c:lvl>
                  <c:pt idx="0">
                    <c:v>Biryani</c:v>
                  </c:pt>
                  <c:pt idx="2">
                    <c:v>Puri</c:v>
                  </c:pt>
                  <c:pt idx="4">
                    <c:v>Mutton Biryani</c:v>
                  </c:pt>
                  <c:pt idx="6">
                    <c:v>Mutton Soup</c:v>
                  </c:pt>
                  <c:pt idx="7">
                    <c:v>Veg Biryani</c:v>
                  </c:pt>
                  <c:pt idx="8">
                    <c:v>Panner Biryani</c:v>
                  </c:pt>
                  <c:pt idx="10">
                    <c:v>Mushroom Biryani</c:v>
                  </c:pt>
                </c:lvl>
                <c:lvl>
                  <c:pt idx="0">
                    <c:v>Non-Veg</c:v>
                  </c:pt>
                  <c:pt idx="2">
                    <c:v>Veg</c:v>
                  </c:pt>
                  <c:pt idx="4">
                    <c:v>Non-Veg</c:v>
                  </c:pt>
                  <c:pt idx="6">
                    <c:v>Non-Veg</c:v>
                  </c:pt>
                  <c:pt idx="7">
                    <c:v>Veg</c:v>
                  </c:pt>
                  <c:pt idx="8">
                    <c:v>Veg</c:v>
                  </c:pt>
                  <c:pt idx="10">
                    <c:v>Veg</c:v>
                  </c:pt>
                </c:lvl>
                <c:lvl>
                  <c:pt idx="0">
                    <c:v>F01</c:v>
                  </c:pt>
                  <c:pt idx="2">
                    <c:v>F02</c:v>
                  </c:pt>
                  <c:pt idx="4">
                    <c:v>F03</c:v>
                  </c:pt>
                  <c:pt idx="6">
                    <c:v>F04</c:v>
                  </c:pt>
                  <c:pt idx="7">
                    <c:v>F05</c:v>
                  </c:pt>
                  <c:pt idx="8">
                    <c:v>F06</c:v>
                  </c:pt>
                  <c:pt idx="10">
                    <c:v>F07</c:v>
                  </c:pt>
                </c:lvl>
              </c:multiLvlStrCache>
            </c:multiLvlStrRef>
          </c:cat>
          <c:val>
            <c:numRef>
              <c:f>'Dash Board-2'!$C$4:$C$49</c:f>
              <c:numCache>
                <c:formatCode>General</c:formatCode>
                <c:ptCount val="12"/>
                <c:pt idx="0">
                  <c:v>6000</c:v>
                </c:pt>
                <c:pt idx="1">
                  <c:v>28000</c:v>
                </c:pt>
                <c:pt idx="2">
                  <c:v>2000</c:v>
                </c:pt>
                <c:pt idx="3">
                  <c:v>16000</c:v>
                </c:pt>
                <c:pt idx="4">
                  <c:v>13000</c:v>
                </c:pt>
                <c:pt idx="5">
                  <c:v>4000</c:v>
                </c:pt>
                <c:pt idx="6">
                  <c:v>24000</c:v>
                </c:pt>
                <c:pt idx="7">
                  <c:v>22000</c:v>
                </c:pt>
                <c:pt idx="8">
                  <c:v>7000</c:v>
                </c:pt>
                <c:pt idx="9">
                  <c:v>22000</c:v>
                </c:pt>
                <c:pt idx="10">
                  <c:v>13000</c:v>
                </c:pt>
                <c:pt idx="11">
                  <c:v>10000</c:v>
                </c:pt>
              </c:numCache>
            </c:numRef>
          </c:val>
          <c:extLst>
            <c:ext xmlns:c16="http://schemas.microsoft.com/office/drawing/2014/chart" uri="{C3380CC4-5D6E-409C-BE32-E72D297353CC}">
              <c16:uniqueId val="{00000004-6DCB-415A-ACA7-C1961B4FD8DC}"/>
            </c:ext>
          </c:extLst>
        </c:ser>
        <c:dLbls>
          <c:showLegendKey val="0"/>
          <c:showVal val="0"/>
          <c:showCatName val="0"/>
          <c:showSerName val="0"/>
          <c:showPercent val="0"/>
          <c:showBubbleSize val="0"/>
        </c:dLbls>
        <c:gapWidth val="315"/>
        <c:overlap val="-40"/>
        <c:axId val="1242268048"/>
        <c:axId val="1242268528"/>
      </c:barChart>
      <c:catAx>
        <c:axId val="1242268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2268528"/>
        <c:crosses val="autoZero"/>
        <c:auto val="1"/>
        <c:lblAlgn val="ctr"/>
        <c:lblOffset val="100"/>
        <c:noMultiLvlLbl val="0"/>
      </c:catAx>
      <c:valAx>
        <c:axId val="1242268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226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Management.xlsx]Dash Board-3!PivotTable2</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 Board-3'!$B$3</c:f>
              <c:strCache>
                <c:ptCount val="1"/>
                <c:pt idx="0">
                  <c:v>Sum of Total Bill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multiLvlStrRef>
              <c:f>'Dash Board-3'!$A$4:$A$58</c:f>
              <c:multiLvlStrCache>
                <c:ptCount val="50"/>
                <c:lvl>
                  <c:pt idx="0">
                    <c:v>C001</c:v>
                  </c:pt>
                  <c:pt idx="1">
                    <c:v>C005</c:v>
                  </c:pt>
                  <c:pt idx="2">
                    <c:v>C006</c:v>
                  </c:pt>
                  <c:pt idx="3">
                    <c:v>C009</c:v>
                  </c:pt>
                  <c:pt idx="4">
                    <c:v>C013</c:v>
                  </c:pt>
                  <c:pt idx="5">
                    <c:v>C014</c:v>
                  </c:pt>
                  <c:pt idx="6">
                    <c:v>C017</c:v>
                  </c:pt>
                  <c:pt idx="7">
                    <c:v>C021</c:v>
                  </c:pt>
                  <c:pt idx="8">
                    <c:v>C022</c:v>
                  </c:pt>
                  <c:pt idx="9">
                    <c:v>C025</c:v>
                  </c:pt>
                  <c:pt idx="10">
                    <c:v>C029</c:v>
                  </c:pt>
                  <c:pt idx="11">
                    <c:v>C030</c:v>
                  </c:pt>
                  <c:pt idx="12">
                    <c:v>C033</c:v>
                  </c:pt>
                  <c:pt idx="13">
                    <c:v>C037</c:v>
                  </c:pt>
                  <c:pt idx="14">
                    <c:v>C038</c:v>
                  </c:pt>
                  <c:pt idx="15">
                    <c:v>C041</c:v>
                  </c:pt>
                  <c:pt idx="16">
                    <c:v>C045</c:v>
                  </c:pt>
                  <c:pt idx="17">
                    <c:v>C046</c:v>
                  </c:pt>
                  <c:pt idx="18">
                    <c:v>C002</c:v>
                  </c:pt>
                  <c:pt idx="19">
                    <c:v>C007</c:v>
                  </c:pt>
                  <c:pt idx="20">
                    <c:v>C008</c:v>
                  </c:pt>
                  <c:pt idx="21">
                    <c:v>C010</c:v>
                  </c:pt>
                  <c:pt idx="22">
                    <c:v>C015</c:v>
                  </c:pt>
                  <c:pt idx="23">
                    <c:v>C016</c:v>
                  </c:pt>
                  <c:pt idx="24">
                    <c:v>C018</c:v>
                  </c:pt>
                  <c:pt idx="25">
                    <c:v>C023</c:v>
                  </c:pt>
                  <c:pt idx="26">
                    <c:v>C024</c:v>
                  </c:pt>
                  <c:pt idx="27">
                    <c:v>C026</c:v>
                  </c:pt>
                  <c:pt idx="28">
                    <c:v>C031</c:v>
                  </c:pt>
                  <c:pt idx="29">
                    <c:v>C032</c:v>
                  </c:pt>
                  <c:pt idx="30">
                    <c:v>C034</c:v>
                  </c:pt>
                  <c:pt idx="31">
                    <c:v>C039</c:v>
                  </c:pt>
                  <c:pt idx="32">
                    <c:v>C040</c:v>
                  </c:pt>
                  <c:pt idx="33">
                    <c:v>C042</c:v>
                  </c:pt>
                  <c:pt idx="34">
                    <c:v>C047</c:v>
                  </c:pt>
                  <c:pt idx="35">
                    <c:v>C048</c:v>
                  </c:pt>
                  <c:pt idx="36">
                    <c:v>C003</c:v>
                  </c:pt>
                  <c:pt idx="37">
                    <c:v>C011</c:v>
                  </c:pt>
                  <c:pt idx="38">
                    <c:v>C019</c:v>
                  </c:pt>
                  <c:pt idx="39">
                    <c:v>C027</c:v>
                  </c:pt>
                  <c:pt idx="40">
                    <c:v>C035</c:v>
                  </c:pt>
                  <c:pt idx="41">
                    <c:v>C043</c:v>
                  </c:pt>
                  <c:pt idx="42">
                    <c:v>C050</c:v>
                  </c:pt>
                  <c:pt idx="43">
                    <c:v>C004</c:v>
                  </c:pt>
                  <c:pt idx="44">
                    <c:v>C012</c:v>
                  </c:pt>
                  <c:pt idx="45">
                    <c:v>C020</c:v>
                  </c:pt>
                  <c:pt idx="46">
                    <c:v>C028</c:v>
                  </c:pt>
                  <c:pt idx="47">
                    <c:v>C036</c:v>
                  </c:pt>
                  <c:pt idx="48">
                    <c:v>C044</c:v>
                  </c:pt>
                  <c:pt idx="49">
                    <c:v>C049</c:v>
                  </c:pt>
                </c:lvl>
                <c:lvl>
                  <c:pt idx="0">
                    <c:v>2000</c:v>
                  </c:pt>
                  <c:pt idx="18">
                    <c:v>4000</c:v>
                  </c:pt>
                  <c:pt idx="36">
                    <c:v>5000</c:v>
                  </c:pt>
                  <c:pt idx="43">
                    <c:v>6000</c:v>
                  </c:pt>
                </c:lvl>
              </c:multiLvlStrCache>
            </c:multiLvlStrRef>
          </c:cat>
          <c:val>
            <c:numRef>
              <c:f>'Dash Board-3'!$B$4:$B$58</c:f>
              <c:numCache>
                <c:formatCode>General</c:formatCode>
                <c:ptCount val="50"/>
                <c:pt idx="0">
                  <c:v>4000</c:v>
                </c:pt>
                <c:pt idx="1">
                  <c:v>3000</c:v>
                </c:pt>
                <c:pt idx="2">
                  <c:v>6000</c:v>
                </c:pt>
                <c:pt idx="3">
                  <c:v>6000</c:v>
                </c:pt>
                <c:pt idx="4">
                  <c:v>6000</c:v>
                </c:pt>
                <c:pt idx="5">
                  <c:v>4000</c:v>
                </c:pt>
                <c:pt idx="6">
                  <c:v>5000</c:v>
                </c:pt>
                <c:pt idx="7">
                  <c:v>4000</c:v>
                </c:pt>
                <c:pt idx="8">
                  <c:v>3000</c:v>
                </c:pt>
                <c:pt idx="9">
                  <c:v>5000</c:v>
                </c:pt>
                <c:pt idx="10">
                  <c:v>8000</c:v>
                </c:pt>
                <c:pt idx="11">
                  <c:v>4000</c:v>
                </c:pt>
                <c:pt idx="12">
                  <c:v>8000</c:v>
                </c:pt>
                <c:pt idx="13">
                  <c:v>6000</c:v>
                </c:pt>
                <c:pt idx="14">
                  <c:v>5000</c:v>
                </c:pt>
                <c:pt idx="15">
                  <c:v>6000</c:v>
                </c:pt>
                <c:pt idx="16">
                  <c:v>3000</c:v>
                </c:pt>
                <c:pt idx="17">
                  <c:v>8000</c:v>
                </c:pt>
                <c:pt idx="18">
                  <c:v>6000</c:v>
                </c:pt>
                <c:pt idx="19">
                  <c:v>6000</c:v>
                </c:pt>
                <c:pt idx="20">
                  <c:v>8000</c:v>
                </c:pt>
                <c:pt idx="21">
                  <c:v>5000</c:v>
                </c:pt>
                <c:pt idx="22">
                  <c:v>6000</c:v>
                </c:pt>
                <c:pt idx="23">
                  <c:v>8000</c:v>
                </c:pt>
                <c:pt idx="24">
                  <c:v>5000</c:v>
                </c:pt>
                <c:pt idx="25">
                  <c:v>10000</c:v>
                </c:pt>
                <c:pt idx="26">
                  <c:v>8000</c:v>
                </c:pt>
                <c:pt idx="27">
                  <c:v>6000</c:v>
                </c:pt>
                <c:pt idx="28">
                  <c:v>12000</c:v>
                </c:pt>
                <c:pt idx="29">
                  <c:v>5000</c:v>
                </c:pt>
                <c:pt idx="30">
                  <c:v>8000</c:v>
                </c:pt>
                <c:pt idx="31">
                  <c:v>6000</c:v>
                </c:pt>
                <c:pt idx="32">
                  <c:v>8000</c:v>
                </c:pt>
                <c:pt idx="33">
                  <c:v>8000</c:v>
                </c:pt>
                <c:pt idx="34">
                  <c:v>8000</c:v>
                </c:pt>
                <c:pt idx="35">
                  <c:v>6000</c:v>
                </c:pt>
                <c:pt idx="36">
                  <c:v>9000</c:v>
                </c:pt>
                <c:pt idx="37">
                  <c:v>9000</c:v>
                </c:pt>
                <c:pt idx="38">
                  <c:v>9000</c:v>
                </c:pt>
                <c:pt idx="39">
                  <c:v>9000</c:v>
                </c:pt>
                <c:pt idx="40">
                  <c:v>9000</c:v>
                </c:pt>
                <c:pt idx="41">
                  <c:v>9000</c:v>
                </c:pt>
                <c:pt idx="42">
                  <c:v>7000</c:v>
                </c:pt>
                <c:pt idx="43">
                  <c:v>12000</c:v>
                </c:pt>
                <c:pt idx="44">
                  <c:v>7000</c:v>
                </c:pt>
                <c:pt idx="45">
                  <c:v>9000</c:v>
                </c:pt>
                <c:pt idx="46">
                  <c:v>10000</c:v>
                </c:pt>
                <c:pt idx="47">
                  <c:v>10000</c:v>
                </c:pt>
                <c:pt idx="48">
                  <c:v>12000</c:v>
                </c:pt>
                <c:pt idx="49">
                  <c:v>8000</c:v>
                </c:pt>
              </c:numCache>
            </c:numRef>
          </c:val>
          <c:smooth val="0"/>
          <c:extLst>
            <c:ext xmlns:c16="http://schemas.microsoft.com/office/drawing/2014/chart" uri="{C3380CC4-5D6E-409C-BE32-E72D297353CC}">
              <c16:uniqueId val="{00000000-D94B-4F43-B779-0DA2FBBB560B}"/>
            </c:ext>
          </c:extLst>
        </c:ser>
        <c:ser>
          <c:idx val="1"/>
          <c:order val="1"/>
          <c:tx>
            <c:strRef>
              <c:f>'Dash Board-3'!$C$3</c:f>
              <c:strCache>
                <c:ptCount val="1"/>
                <c:pt idx="0">
                  <c:v>Sum of Food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'Dash Board-3'!$A$4:$A$58</c:f>
              <c:multiLvlStrCache>
                <c:ptCount val="50"/>
                <c:lvl>
                  <c:pt idx="0">
                    <c:v>C001</c:v>
                  </c:pt>
                  <c:pt idx="1">
                    <c:v>C005</c:v>
                  </c:pt>
                  <c:pt idx="2">
                    <c:v>C006</c:v>
                  </c:pt>
                  <c:pt idx="3">
                    <c:v>C009</c:v>
                  </c:pt>
                  <c:pt idx="4">
                    <c:v>C013</c:v>
                  </c:pt>
                  <c:pt idx="5">
                    <c:v>C014</c:v>
                  </c:pt>
                  <c:pt idx="6">
                    <c:v>C017</c:v>
                  </c:pt>
                  <c:pt idx="7">
                    <c:v>C021</c:v>
                  </c:pt>
                  <c:pt idx="8">
                    <c:v>C022</c:v>
                  </c:pt>
                  <c:pt idx="9">
                    <c:v>C025</c:v>
                  </c:pt>
                  <c:pt idx="10">
                    <c:v>C029</c:v>
                  </c:pt>
                  <c:pt idx="11">
                    <c:v>C030</c:v>
                  </c:pt>
                  <c:pt idx="12">
                    <c:v>C033</c:v>
                  </c:pt>
                  <c:pt idx="13">
                    <c:v>C037</c:v>
                  </c:pt>
                  <c:pt idx="14">
                    <c:v>C038</c:v>
                  </c:pt>
                  <c:pt idx="15">
                    <c:v>C041</c:v>
                  </c:pt>
                  <c:pt idx="16">
                    <c:v>C045</c:v>
                  </c:pt>
                  <c:pt idx="17">
                    <c:v>C046</c:v>
                  </c:pt>
                  <c:pt idx="18">
                    <c:v>C002</c:v>
                  </c:pt>
                  <c:pt idx="19">
                    <c:v>C007</c:v>
                  </c:pt>
                  <c:pt idx="20">
                    <c:v>C008</c:v>
                  </c:pt>
                  <c:pt idx="21">
                    <c:v>C010</c:v>
                  </c:pt>
                  <c:pt idx="22">
                    <c:v>C015</c:v>
                  </c:pt>
                  <c:pt idx="23">
                    <c:v>C016</c:v>
                  </c:pt>
                  <c:pt idx="24">
                    <c:v>C018</c:v>
                  </c:pt>
                  <c:pt idx="25">
                    <c:v>C023</c:v>
                  </c:pt>
                  <c:pt idx="26">
                    <c:v>C024</c:v>
                  </c:pt>
                  <c:pt idx="27">
                    <c:v>C026</c:v>
                  </c:pt>
                  <c:pt idx="28">
                    <c:v>C031</c:v>
                  </c:pt>
                  <c:pt idx="29">
                    <c:v>C032</c:v>
                  </c:pt>
                  <c:pt idx="30">
                    <c:v>C034</c:v>
                  </c:pt>
                  <c:pt idx="31">
                    <c:v>C039</c:v>
                  </c:pt>
                  <c:pt idx="32">
                    <c:v>C040</c:v>
                  </c:pt>
                  <c:pt idx="33">
                    <c:v>C042</c:v>
                  </c:pt>
                  <c:pt idx="34">
                    <c:v>C047</c:v>
                  </c:pt>
                  <c:pt idx="35">
                    <c:v>C048</c:v>
                  </c:pt>
                  <c:pt idx="36">
                    <c:v>C003</c:v>
                  </c:pt>
                  <c:pt idx="37">
                    <c:v>C011</c:v>
                  </c:pt>
                  <c:pt idx="38">
                    <c:v>C019</c:v>
                  </c:pt>
                  <c:pt idx="39">
                    <c:v>C027</c:v>
                  </c:pt>
                  <c:pt idx="40">
                    <c:v>C035</c:v>
                  </c:pt>
                  <c:pt idx="41">
                    <c:v>C043</c:v>
                  </c:pt>
                  <c:pt idx="42">
                    <c:v>C050</c:v>
                  </c:pt>
                  <c:pt idx="43">
                    <c:v>C004</c:v>
                  </c:pt>
                  <c:pt idx="44">
                    <c:v>C012</c:v>
                  </c:pt>
                  <c:pt idx="45">
                    <c:v>C020</c:v>
                  </c:pt>
                  <c:pt idx="46">
                    <c:v>C028</c:v>
                  </c:pt>
                  <c:pt idx="47">
                    <c:v>C036</c:v>
                  </c:pt>
                  <c:pt idx="48">
                    <c:v>C044</c:v>
                  </c:pt>
                  <c:pt idx="49">
                    <c:v>C049</c:v>
                  </c:pt>
                </c:lvl>
                <c:lvl>
                  <c:pt idx="0">
                    <c:v>2000</c:v>
                  </c:pt>
                  <c:pt idx="18">
                    <c:v>4000</c:v>
                  </c:pt>
                  <c:pt idx="36">
                    <c:v>5000</c:v>
                  </c:pt>
                  <c:pt idx="43">
                    <c:v>6000</c:v>
                  </c:pt>
                </c:lvl>
              </c:multiLvlStrCache>
            </c:multiLvlStrRef>
          </c:cat>
          <c:val>
            <c:numRef>
              <c:f>'Dash Board-3'!$C$4:$C$58</c:f>
              <c:numCache>
                <c:formatCode>General</c:formatCode>
                <c:ptCount val="50"/>
                <c:pt idx="0">
                  <c:v>2000</c:v>
                </c:pt>
                <c:pt idx="1">
                  <c:v>1000</c:v>
                </c:pt>
                <c:pt idx="2">
                  <c:v>4000</c:v>
                </c:pt>
                <c:pt idx="3">
                  <c:v>4000</c:v>
                </c:pt>
                <c:pt idx="4">
                  <c:v>4000</c:v>
                </c:pt>
                <c:pt idx="5">
                  <c:v>2000</c:v>
                </c:pt>
                <c:pt idx="6">
                  <c:v>3000</c:v>
                </c:pt>
                <c:pt idx="7">
                  <c:v>2000</c:v>
                </c:pt>
                <c:pt idx="8">
                  <c:v>1000</c:v>
                </c:pt>
                <c:pt idx="9">
                  <c:v>3000</c:v>
                </c:pt>
                <c:pt idx="10">
                  <c:v>6000</c:v>
                </c:pt>
                <c:pt idx="11">
                  <c:v>2000</c:v>
                </c:pt>
                <c:pt idx="12">
                  <c:v>6000</c:v>
                </c:pt>
                <c:pt idx="13">
                  <c:v>4000</c:v>
                </c:pt>
                <c:pt idx="14">
                  <c:v>3000</c:v>
                </c:pt>
                <c:pt idx="15">
                  <c:v>4000</c:v>
                </c:pt>
                <c:pt idx="16">
                  <c:v>1000</c:v>
                </c:pt>
                <c:pt idx="17">
                  <c:v>6000</c:v>
                </c:pt>
                <c:pt idx="18">
                  <c:v>2000</c:v>
                </c:pt>
                <c:pt idx="19">
                  <c:v>2000</c:v>
                </c:pt>
                <c:pt idx="20">
                  <c:v>4000</c:v>
                </c:pt>
                <c:pt idx="21">
                  <c:v>1000</c:v>
                </c:pt>
                <c:pt idx="22">
                  <c:v>2000</c:v>
                </c:pt>
                <c:pt idx="23">
                  <c:v>4000</c:v>
                </c:pt>
                <c:pt idx="24">
                  <c:v>1000</c:v>
                </c:pt>
                <c:pt idx="25">
                  <c:v>6000</c:v>
                </c:pt>
                <c:pt idx="26">
                  <c:v>4000</c:v>
                </c:pt>
                <c:pt idx="27">
                  <c:v>2000</c:v>
                </c:pt>
                <c:pt idx="28">
                  <c:v>8000</c:v>
                </c:pt>
                <c:pt idx="29">
                  <c:v>1000</c:v>
                </c:pt>
                <c:pt idx="30">
                  <c:v>4000</c:v>
                </c:pt>
                <c:pt idx="31">
                  <c:v>2000</c:v>
                </c:pt>
                <c:pt idx="32">
                  <c:v>4000</c:v>
                </c:pt>
                <c:pt idx="33">
                  <c:v>4000</c:v>
                </c:pt>
                <c:pt idx="34">
                  <c:v>4000</c:v>
                </c:pt>
                <c:pt idx="35">
                  <c:v>2000</c:v>
                </c:pt>
                <c:pt idx="36">
                  <c:v>4000</c:v>
                </c:pt>
                <c:pt idx="37">
                  <c:v>4000</c:v>
                </c:pt>
                <c:pt idx="38">
                  <c:v>4000</c:v>
                </c:pt>
                <c:pt idx="39">
                  <c:v>4000</c:v>
                </c:pt>
                <c:pt idx="40">
                  <c:v>4000</c:v>
                </c:pt>
                <c:pt idx="41">
                  <c:v>4000</c:v>
                </c:pt>
                <c:pt idx="42">
                  <c:v>2000</c:v>
                </c:pt>
                <c:pt idx="43">
                  <c:v>6000</c:v>
                </c:pt>
                <c:pt idx="44">
                  <c:v>1000</c:v>
                </c:pt>
                <c:pt idx="45">
                  <c:v>3000</c:v>
                </c:pt>
                <c:pt idx="46">
                  <c:v>4000</c:v>
                </c:pt>
                <c:pt idx="47">
                  <c:v>4000</c:v>
                </c:pt>
                <c:pt idx="48">
                  <c:v>6000</c:v>
                </c:pt>
                <c:pt idx="49">
                  <c:v>2000</c:v>
                </c:pt>
              </c:numCache>
            </c:numRef>
          </c:val>
          <c:smooth val="0"/>
          <c:extLst>
            <c:ext xmlns:c16="http://schemas.microsoft.com/office/drawing/2014/chart" uri="{C3380CC4-5D6E-409C-BE32-E72D297353CC}">
              <c16:uniqueId val="{00000002-D94B-4F43-B779-0DA2FBBB560B}"/>
            </c:ext>
          </c:extLst>
        </c:ser>
        <c:ser>
          <c:idx val="2"/>
          <c:order val="2"/>
          <c:tx>
            <c:strRef>
              <c:f>'Dash Board-3'!$D$3</c:f>
              <c:strCache>
                <c:ptCount val="1"/>
                <c:pt idx="0">
                  <c:v>Sum of Floor No</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multiLvlStrRef>
              <c:f>'Dash Board-3'!$A$4:$A$58</c:f>
              <c:multiLvlStrCache>
                <c:ptCount val="50"/>
                <c:lvl>
                  <c:pt idx="0">
                    <c:v>C001</c:v>
                  </c:pt>
                  <c:pt idx="1">
                    <c:v>C005</c:v>
                  </c:pt>
                  <c:pt idx="2">
                    <c:v>C006</c:v>
                  </c:pt>
                  <c:pt idx="3">
                    <c:v>C009</c:v>
                  </c:pt>
                  <c:pt idx="4">
                    <c:v>C013</c:v>
                  </c:pt>
                  <c:pt idx="5">
                    <c:v>C014</c:v>
                  </c:pt>
                  <c:pt idx="6">
                    <c:v>C017</c:v>
                  </c:pt>
                  <c:pt idx="7">
                    <c:v>C021</c:v>
                  </c:pt>
                  <c:pt idx="8">
                    <c:v>C022</c:v>
                  </c:pt>
                  <c:pt idx="9">
                    <c:v>C025</c:v>
                  </c:pt>
                  <c:pt idx="10">
                    <c:v>C029</c:v>
                  </c:pt>
                  <c:pt idx="11">
                    <c:v>C030</c:v>
                  </c:pt>
                  <c:pt idx="12">
                    <c:v>C033</c:v>
                  </c:pt>
                  <c:pt idx="13">
                    <c:v>C037</c:v>
                  </c:pt>
                  <c:pt idx="14">
                    <c:v>C038</c:v>
                  </c:pt>
                  <c:pt idx="15">
                    <c:v>C041</c:v>
                  </c:pt>
                  <c:pt idx="16">
                    <c:v>C045</c:v>
                  </c:pt>
                  <c:pt idx="17">
                    <c:v>C046</c:v>
                  </c:pt>
                  <c:pt idx="18">
                    <c:v>C002</c:v>
                  </c:pt>
                  <c:pt idx="19">
                    <c:v>C007</c:v>
                  </c:pt>
                  <c:pt idx="20">
                    <c:v>C008</c:v>
                  </c:pt>
                  <c:pt idx="21">
                    <c:v>C010</c:v>
                  </c:pt>
                  <c:pt idx="22">
                    <c:v>C015</c:v>
                  </c:pt>
                  <c:pt idx="23">
                    <c:v>C016</c:v>
                  </c:pt>
                  <c:pt idx="24">
                    <c:v>C018</c:v>
                  </c:pt>
                  <c:pt idx="25">
                    <c:v>C023</c:v>
                  </c:pt>
                  <c:pt idx="26">
                    <c:v>C024</c:v>
                  </c:pt>
                  <c:pt idx="27">
                    <c:v>C026</c:v>
                  </c:pt>
                  <c:pt idx="28">
                    <c:v>C031</c:v>
                  </c:pt>
                  <c:pt idx="29">
                    <c:v>C032</c:v>
                  </c:pt>
                  <c:pt idx="30">
                    <c:v>C034</c:v>
                  </c:pt>
                  <c:pt idx="31">
                    <c:v>C039</c:v>
                  </c:pt>
                  <c:pt idx="32">
                    <c:v>C040</c:v>
                  </c:pt>
                  <c:pt idx="33">
                    <c:v>C042</c:v>
                  </c:pt>
                  <c:pt idx="34">
                    <c:v>C047</c:v>
                  </c:pt>
                  <c:pt idx="35">
                    <c:v>C048</c:v>
                  </c:pt>
                  <c:pt idx="36">
                    <c:v>C003</c:v>
                  </c:pt>
                  <c:pt idx="37">
                    <c:v>C011</c:v>
                  </c:pt>
                  <c:pt idx="38">
                    <c:v>C019</c:v>
                  </c:pt>
                  <c:pt idx="39">
                    <c:v>C027</c:v>
                  </c:pt>
                  <c:pt idx="40">
                    <c:v>C035</c:v>
                  </c:pt>
                  <c:pt idx="41">
                    <c:v>C043</c:v>
                  </c:pt>
                  <c:pt idx="42">
                    <c:v>C050</c:v>
                  </c:pt>
                  <c:pt idx="43">
                    <c:v>C004</c:v>
                  </c:pt>
                  <c:pt idx="44">
                    <c:v>C012</c:v>
                  </c:pt>
                  <c:pt idx="45">
                    <c:v>C020</c:v>
                  </c:pt>
                  <c:pt idx="46">
                    <c:v>C028</c:v>
                  </c:pt>
                  <c:pt idx="47">
                    <c:v>C036</c:v>
                  </c:pt>
                  <c:pt idx="48">
                    <c:v>C044</c:v>
                  </c:pt>
                  <c:pt idx="49">
                    <c:v>C049</c:v>
                  </c:pt>
                </c:lvl>
                <c:lvl>
                  <c:pt idx="0">
                    <c:v>2000</c:v>
                  </c:pt>
                  <c:pt idx="18">
                    <c:v>4000</c:v>
                  </c:pt>
                  <c:pt idx="36">
                    <c:v>5000</c:v>
                  </c:pt>
                  <c:pt idx="43">
                    <c:v>6000</c:v>
                  </c:pt>
                </c:lvl>
              </c:multiLvlStrCache>
            </c:multiLvlStrRef>
          </c:cat>
          <c:val>
            <c:numRef>
              <c:f>'Dash Board-3'!$D$4:$D$58</c:f>
              <c:numCache>
                <c:formatCode>General</c:formatCode>
                <c:ptCount val="50"/>
                <c:pt idx="0">
                  <c:v>1</c:v>
                </c:pt>
                <c:pt idx="1">
                  <c:v>4</c:v>
                </c:pt>
                <c:pt idx="2">
                  <c:v>2</c:v>
                </c:pt>
                <c:pt idx="3">
                  <c:v>3</c:v>
                </c:pt>
                <c:pt idx="4">
                  <c:v>2</c:v>
                </c:pt>
                <c:pt idx="5">
                  <c:v>2</c:v>
                </c:pt>
                <c:pt idx="6">
                  <c:v>2</c:v>
                </c:pt>
                <c:pt idx="7">
                  <c:v>2</c:v>
                </c:pt>
                <c:pt idx="8">
                  <c:v>1</c:v>
                </c:pt>
                <c:pt idx="9">
                  <c:v>1</c:v>
                </c:pt>
                <c:pt idx="10">
                  <c:v>4</c:v>
                </c:pt>
                <c:pt idx="11">
                  <c:v>1</c:v>
                </c:pt>
                <c:pt idx="12">
                  <c:v>1</c:v>
                </c:pt>
                <c:pt idx="13">
                  <c:v>1</c:v>
                </c:pt>
                <c:pt idx="14">
                  <c:v>3</c:v>
                </c:pt>
                <c:pt idx="15">
                  <c:v>4</c:v>
                </c:pt>
                <c:pt idx="16">
                  <c:v>3</c:v>
                </c:pt>
                <c:pt idx="17">
                  <c:v>2</c:v>
                </c:pt>
                <c:pt idx="18">
                  <c:v>3</c:v>
                </c:pt>
                <c:pt idx="19">
                  <c:v>2</c:v>
                </c:pt>
                <c:pt idx="20">
                  <c:v>1</c:v>
                </c:pt>
                <c:pt idx="21">
                  <c:v>2</c:v>
                </c:pt>
                <c:pt idx="22">
                  <c:v>1</c:v>
                </c:pt>
                <c:pt idx="23">
                  <c:v>3</c:v>
                </c:pt>
                <c:pt idx="24">
                  <c:v>1</c:v>
                </c:pt>
                <c:pt idx="25">
                  <c:v>3</c:v>
                </c:pt>
                <c:pt idx="26">
                  <c:v>2</c:v>
                </c:pt>
                <c:pt idx="27">
                  <c:v>4</c:v>
                </c:pt>
                <c:pt idx="28">
                  <c:v>3</c:v>
                </c:pt>
                <c:pt idx="29">
                  <c:v>2</c:v>
                </c:pt>
                <c:pt idx="30">
                  <c:v>4</c:v>
                </c:pt>
                <c:pt idx="31">
                  <c:v>2</c:v>
                </c:pt>
                <c:pt idx="32">
                  <c:v>1</c:v>
                </c:pt>
                <c:pt idx="33">
                  <c:v>2</c:v>
                </c:pt>
                <c:pt idx="34">
                  <c:v>1</c:v>
                </c:pt>
                <c:pt idx="35">
                  <c:v>4</c:v>
                </c:pt>
                <c:pt idx="36">
                  <c:v>2</c:v>
                </c:pt>
                <c:pt idx="37">
                  <c:v>1</c:v>
                </c:pt>
                <c:pt idx="38">
                  <c:v>4</c:v>
                </c:pt>
                <c:pt idx="39">
                  <c:v>2</c:v>
                </c:pt>
                <c:pt idx="40">
                  <c:v>2</c:v>
                </c:pt>
                <c:pt idx="41">
                  <c:v>2</c:v>
                </c:pt>
                <c:pt idx="42">
                  <c:v>2</c:v>
                </c:pt>
                <c:pt idx="43">
                  <c:v>1</c:v>
                </c:pt>
                <c:pt idx="44">
                  <c:v>4</c:v>
                </c:pt>
                <c:pt idx="45">
                  <c:v>2</c:v>
                </c:pt>
                <c:pt idx="46">
                  <c:v>2</c:v>
                </c:pt>
                <c:pt idx="47">
                  <c:v>2</c:v>
                </c:pt>
                <c:pt idx="48">
                  <c:v>1</c:v>
                </c:pt>
                <c:pt idx="49">
                  <c:v>2</c:v>
                </c:pt>
              </c:numCache>
            </c:numRef>
          </c:val>
          <c:smooth val="0"/>
          <c:extLst>
            <c:ext xmlns:c16="http://schemas.microsoft.com/office/drawing/2014/chart" uri="{C3380CC4-5D6E-409C-BE32-E72D297353CC}">
              <c16:uniqueId val="{00000003-D94B-4F43-B779-0DA2FBBB560B}"/>
            </c:ext>
          </c:extLst>
        </c:ser>
        <c:dLbls>
          <c:showLegendKey val="0"/>
          <c:showVal val="0"/>
          <c:showCatName val="0"/>
          <c:showSerName val="0"/>
          <c:showPercent val="0"/>
          <c:showBubbleSize val="0"/>
        </c:dLbls>
        <c:smooth val="0"/>
        <c:axId val="1681707151"/>
        <c:axId val="1681716271"/>
      </c:lineChart>
      <c:catAx>
        <c:axId val="16817071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16271"/>
        <c:crosses val="autoZero"/>
        <c:auto val="1"/>
        <c:lblAlgn val="ctr"/>
        <c:lblOffset val="100"/>
        <c:noMultiLvlLbl val="0"/>
      </c:catAx>
      <c:valAx>
        <c:axId val="168171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0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Based</a:t>
            </a:r>
            <a:r>
              <a:rPr lang="en-US" baseline="0"/>
              <a:t> on Booking Id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0"/>
              <c:pt idx="0">
                <c:v>R102 Single B001</c:v>
              </c:pt>
              <c:pt idx="1">
                <c:v>R103 Double B002</c:v>
              </c:pt>
              <c:pt idx="2">
                <c:v>R104 Deluxe B003</c:v>
              </c:pt>
              <c:pt idx="3">
                <c:v>R105 Suite B004</c:v>
              </c:pt>
              <c:pt idx="4">
                <c:v>R106 Single B005</c:v>
              </c:pt>
              <c:pt idx="5">
                <c:v>R107 Double B006</c:v>
              </c:pt>
              <c:pt idx="6">
                <c:v>R108 Deluxe B007</c:v>
              </c:pt>
              <c:pt idx="7">
                <c:v>R109 Suite B008</c:v>
              </c:pt>
              <c:pt idx="8">
                <c:v>R110 Single B009</c:v>
              </c:pt>
              <c:pt idx="9">
                <c:v>R111 Double B010</c:v>
              </c:pt>
              <c:pt idx="10">
                <c:v>R112 Deluxe B011</c:v>
              </c:pt>
              <c:pt idx="11">
                <c:v>R113 Suite B012</c:v>
              </c:pt>
              <c:pt idx="12">
                <c:v>R114 Single B013</c:v>
              </c:pt>
              <c:pt idx="13">
                <c:v>R115 Double B014</c:v>
              </c:pt>
              <c:pt idx="14">
                <c:v>R116 Deluxe B015</c:v>
              </c:pt>
              <c:pt idx="15">
                <c:v>R117 Suite B016</c:v>
              </c:pt>
              <c:pt idx="16">
                <c:v>R118 Single B017</c:v>
              </c:pt>
              <c:pt idx="17">
                <c:v>R119 Double B018</c:v>
              </c:pt>
              <c:pt idx="18">
                <c:v>R120 Deluxe B019</c:v>
              </c:pt>
              <c:pt idx="19">
                <c:v>R121 Suite B020</c:v>
              </c:pt>
              <c:pt idx="20">
                <c:v>R122 Single B021</c:v>
              </c:pt>
              <c:pt idx="21">
                <c:v>R123 Double B022</c:v>
              </c:pt>
              <c:pt idx="22">
                <c:v>R124 Deluxe B023</c:v>
              </c:pt>
              <c:pt idx="23">
                <c:v>R125 Suite B024</c:v>
              </c:pt>
              <c:pt idx="24">
                <c:v>R126 Single B025</c:v>
              </c:pt>
              <c:pt idx="25">
                <c:v>R127 Double B026</c:v>
              </c:pt>
              <c:pt idx="26">
                <c:v>R128 Deluxe B027</c:v>
              </c:pt>
              <c:pt idx="27">
                <c:v>R129 Suite B028</c:v>
              </c:pt>
              <c:pt idx="28">
                <c:v>R130 Single B029</c:v>
              </c:pt>
              <c:pt idx="29">
                <c:v>R131 Double B030</c:v>
              </c:pt>
              <c:pt idx="30">
                <c:v>R132 Deluxe B031</c:v>
              </c:pt>
              <c:pt idx="31">
                <c:v>R133 Suite B032</c:v>
              </c:pt>
              <c:pt idx="32">
                <c:v>R134 Single B033</c:v>
              </c:pt>
              <c:pt idx="33">
                <c:v>R135 Double B034</c:v>
              </c:pt>
              <c:pt idx="34">
                <c:v>R136 Deluxe B035</c:v>
              </c:pt>
              <c:pt idx="35">
                <c:v>R137 Suite B036</c:v>
              </c:pt>
              <c:pt idx="36">
                <c:v>R138 Single B037</c:v>
              </c:pt>
              <c:pt idx="37">
                <c:v>R139 Double B038</c:v>
              </c:pt>
              <c:pt idx="38">
                <c:v>R140 Deluxe B039</c:v>
              </c:pt>
              <c:pt idx="39">
                <c:v>R141 Suite B040</c:v>
              </c:pt>
              <c:pt idx="40">
                <c:v>R142 Single B041</c:v>
              </c:pt>
              <c:pt idx="41">
                <c:v>R143 Double B042</c:v>
              </c:pt>
              <c:pt idx="42">
                <c:v>R144 Deluxe B043</c:v>
              </c:pt>
              <c:pt idx="43">
                <c:v>R145 Suite B044</c:v>
              </c:pt>
              <c:pt idx="44">
                <c:v>R146 Single B045</c:v>
              </c:pt>
              <c:pt idx="45">
                <c:v>R147 Single B046</c:v>
              </c:pt>
              <c:pt idx="46">
                <c:v>R148 Double B047</c:v>
              </c:pt>
              <c:pt idx="47">
                <c:v>R149 Deluxe B048</c:v>
              </c:pt>
              <c:pt idx="48">
                <c:v>R150 Suite B049</c:v>
              </c:pt>
              <c:pt idx="49">
                <c:v>R151 Single B050</c:v>
              </c:pt>
            </c:strLit>
          </c:cat>
          <c:val>
            <c:numLit>
              <c:formatCode>General</c:formatCode>
              <c:ptCount val="50"/>
              <c:pt idx="0">
                <c:v>1</c:v>
              </c:pt>
              <c:pt idx="1">
                <c:v>3</c:v>
              </c:pt>
              <c:pt idx="2">
                <c:v>2</c:v>
              </c:pt>
              <c:pt idx="3">
                <c:v>1</c:v>
              </c:pt>
              <c:pt idx="4">
                <c:v>4</c:v>
              </c:pt>
              <c:pt idx="5">
                <c:v>2</c:v>
              </c:pt>
              <c:pt idx="6">
                <c:v>2</c:v>
              </c:pt>
              <c:pt idx="7">
                <c:v>1</c:v>
              </c:pt>
              <c:pt idx="8">
                <c:v>3</c:v>
              </c:pt>
              <c:pt idx="9">
                <c:v>2</c:v>
              </c:pt>
              <c:pt idx="10">
                <c:v>1</c:v>
              </c:pt>
              <c:pt idx="11">
                <c:v>4</c:v>
              </c:pt>
              <c:pt idx="12">
                <c:v>2</c:v>
              </c:pt>
              <c:pt idx="13">
                <c:v>2</c:v>
              </c:pt>
              <c:pt idx="14">
                <c:v>1</c:v>
              </c:pt>
              <c:pt idx="15">
                <c:v>3</c:v>
              </c:pt>
              <c:pt idx="16">
                <c:v>2</c:v>
              </c:pt>
              <c:pt idx="17">
                <c:v>1</c:v>
              </c:pt>
              <c:pt idx="18">
                <c:v>4</c:v>
              </c:pt>
              <c:pt idx="19">
                <c:v>2</c:v>
              </c:pt>
              <c:pt idx="20">
                <c:v>2</c:v>
              </c:pt>
              <c:pt idx="21">
                <c:v>1</c:v>
              </c:pt>
              <c:pt idx="22">
                <c:v>3</c:v>
              </c:pt>
              <c:pt idx="23">
                <c:v>2</c:v>
              </c:pt>
              <c:pt idx="24">
                <c:v>1</c:v>
              </c:pt>
              <c:pt idx="25">
                <c:v>4</c:v>
              </c:pt>
              <c:pt idx="26">
                <c:v>2</c:v>
              </c:pt>
              <c:pt idx="27">
                <c:v>2</c:v>
              </c:pt>
              <c:pt idx="28">
                <c:v>4</c:v>
              </c:pt>
              <c:pt idx="29">
                <c:v>1</c:v>
              </c:pt>
              <c:pt idx="30">
                <c:v>3</c:v>
              </c:pt>
              <c:pt idx="31">
                <c:v>2</c:v>
              </c:pt>
              <c:pt idx="32">
                <c:v>1</c:v>
              </c:pt>
              <c:pt idx="33">
                <c:v>4</c:v>
              </c:pt>
              <c:pt idx="34">
                <c:v>2</c:v>
              </c:pt>
              <c:pt idx="35">
                <c:v>2</c:v>
              </c:pt>
              <c:pt idx="36">
                <c:v>1</c:v>
              </c:pt>
              <c:pt idx="37">
                <c:v>3</c:v>
              </c:pt>
              <c:pt idx="38">
                <c:v>2</c:v>
              </c:pt>
              <c:pt idx="39">
                <c:v>1</c:v>
              </c:pt>
              <c:pt idx="40">
                <c:v>4</c:v>
              </c:pt>
              <c:pt idx="41">
                <c:v>2</c:v>
              </c:pt>
              <c:pt idx="42">
                <c:v>2</c:v>
              </c:pt>
              <c:pt idx="43">
                <c:v>1</c:v>
              </c:pt>
              <c:pt idx="44">
                <c:v>3</c:v>
              </c:pt>
              <c:pt idx="45">
                <c:v>2</c:v>
              </c:pt>
              <c:pt idx="46">
                <c:v>1</c:v>
              </c:pt>
              <c:pt idx="47">
                <c:v>4</c:v>
              </c:pt>
              <c:pt idx="48">
                <c:v>2</c:v>
              </c:pt>
              <c:pt idx="49">
                <c:v>2</c:v>
              </c:pt>
            </c:numLit>
          </c:val>
          <c:extLst>
            <c:ext xmlns:c16="http://schemas.microsoft.com/office/drawing/2014/chart" uri="{C3380CC4-5D6E-409C-BE32-E72D297353CC}">
              <c16:uniqueId val="{00000000-A88F-4452-8AF5-0AB0DEAB3FAC}"/>
            </c:ext>
          </c:extLst>
        </c:ser>
        <c:dLbls>
          <c:showLegendKey val="0"/>
          <c:showVal val="0"/>
          <c:showCatName val="0"/>
          <c:showSerName val="0"/>
          <c:showPercent val="0"/>
          <c:showBubbleSize val="0"/>
        </c:dLbls>
        <c:gapWidth val="219"/>
        <c:overlap val="-27"/>
        <c:axId val="1424874319"/>
        <c:axId val="1424868079"/>
      </c:barChart>
      <c:catAx>
        <c:axId val="142487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68079"/>
        <c:crosses val="autoZero"/>
        <c:auto val="1"/>
        <c:lblAlgn val="ctr"/>
        <c:lblOffset val="100"/>
        <c:noMultiLvlLbl val="0"/>
      </c:catAx>
      <c:valAx>
        <c:axId val="142486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74319"/>
        <c:crosses val="autoZero"/>
        <c:crossBetween val="between"/>
      </c:valAx>
      <c:spPr>
        <a:noFill/>
        <a:ln>
          <a:solidFill>
            <a:schemeClr val="bg2">
              <a:lumMod val="7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0"/>
              <a:t>Based</a:t>
            </a:r>
            <a:r>
              <a:rPr lang="en-US" b="0" baseline="0"/>
              <a:t> on Room Details</a:t>
            </a:r>
          </a:p>
          <a:p>
            <a:pPr>
              <a:defRPr/>
            </a:pPr>
            <a:endParaRPr lang="en-US" b="0"/>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C00000"/>
            </a:solidFill>
            <a:round/>
          </a:ln>
          <a:effectLst/>
        </c:spPr>
        <c:marker>
          <c:spPr>
            <a:solidFill>
              <a:schemeClr val="lt1"/>
            </a:solidFill>
            <a:ln w="15875">
              <a:solidFill>
                <a:srgbClr val="C00000"/>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rgbClr val="C00000"/>
              </a:solidFill>
              <a:round/>
            </a:ln>
            <a:effectLst/>
          </c:spPr>
          <c:marker>
            <c:symbol val="circle"/>
            <c:size val="6"/>
            <c:spPr>
              <a:solidFill>
                <a:schemeClr val="lt1"/>
              </a:solidFill>
              <a:ln w="15875">
                <a:solidFill>
                  <a:srgbClr val="C0000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Lit>
              <c:ptCount val="8"/>
              <c:pt idx="0">
                <c:v>2000 Single Bed Double</c:v>
              </c:pt>
              <c:pt idx="1">
                <c:v>2000 Single Bed Single</c:v>
              </c:pt>
              <c:pt idx="2">
                <c:v>4000 Double Bed Deluxe</c:v>
              </c:pt>
              <c:pt idx="3">
                <c:v>4000 Double Bed Double</c:v>
              </c:pt>
              <c:pt idx="4">
                <c:v>4000 Double Bed Suite</c:v>
              </c:pt>
              <c:pt idx="5">
                <c:v>5000 Queen Bed Deluxe</c:v>
              </c:pt>
              <c:pt idx="6">
                <c:v>5000 Queen Bed Single</c:v>
              </c:pt>
              <c:pt idx="7">
                <c:v>6000 King Bed Suite</c:v>
              </c:pt>
            </c:strLit>
          </c:cat>
          <c:val>
            <c:numLit>
              <c:formatCode>General</c:formatCode>
              <c:ptCount val="8"/>
              <c:pt idx="0">
                <c:v>9</c:v>
              </c:pt>
              <c:pt idx="1">
                <c:v>30</c:v>
              </c:pt>
              <c:pt idx="2">
                <c:v>15</c:v>
              </c:pt>
              <c:pt idx="3">
                <c:v>17</c:v>
              </c:pt>
              <c:pt idx="4">
                <c:v>9</c:v>
              </c:pt>
              <c:pt idx="5">
                <c:v>13</c:v>
              </c:pt>
              <c:pt idx="6">
                <c:v>2</c:v>
              </c:pt>
              <c:pt idx="7">
                <c:v>14</c:v>
              </c:pt>
            </c:numLit>
          </c:val>
          <c:smooth val="0"/>
          <c:extLst>
            <c:ext xmlns:c16="http://schemas.microsoft.com/office/drawing/2014/chart" uri="{C3380CC4-5D6E-409C-BE32-E72D297353CC}">
              <c16:uniqueId val="{00000000-AFFF-42D7-9794-73CB0EC08F73}"/>
            </c:ext>
          </c:extLst>
        </c:ser>
        <c:dLbls>
          <c:showLegendKey val="0"/>
          <c:showVal val="1"/>
          <c:showCatName val="0"/>
          <c:showSerName val="0"/>
          <c:showPercent val="0"/>
          <c:showBubbleSize val="0"/>
        </c:dLbls>
        <c:marker val="1"/>
        <c:smooth val="0"/>
        <c:axId val="1425066799"/>
        <c:axId val="1425072559"/>
      </c:lineChart>
      <c:catAx>
        <c:axId val="142506679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25072559"/>
        <c:crosses val="autoZero"/>
        <c:auto val="1"/>
        <c:lblAlgn val="ctr"/>
        <c:lblOffset val="100"/>
        <c:noMultiLvlLbl val="0"/>
      </c:catAx>
      <c:valAx>
        <c:axId val="1425072559"/>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2506679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0"/>
              <a:t>Based</a:t>
            </a:r>
            <a:r>
              <a:rPr lang="en-US" b="0" baseline="0"/>
              <a:t> on Room Rent</a:t>
            </a:r>
          </a:p>
          <a:p>
            <a:pPr>
              <a:defRPr/>
            </a:pPr>
            <a:endParaRPr lang="en-US" b="0"/>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C00000"/>
            </a:solidFill>
            <a:round/>
          </a:ln>
          <a:effectLst/>
        </c:spPr>
        <c:marker>
          <c:symbol val="circle"/>
          <c:size val="6"/>
          <c:spPr>
            <a:solidFill>
              <a:schemeClr val="lt1"/>
            </a:solidFill>
            <a:ln w="15875">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C00000"/>
            </a:solidFill>
            <a:round/>
          </a:ln>
          <a:effectLst/>
        </c:spPr>
        <c:marker>
          <c:symbol val="circle"/>
          <c:size val="6"/>
          <c:spPr>
            <a:solidFill>
              <a:schemeClr val="lt1"/>
            </a:solidFill>
            <a:ln w="15875">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C00000"/>
            </a:solidFill>
          </a:ln>
          <a:effectLst/>
        </c:spPr>
        <c:marker>
          <c:symbol val="circle"/>
          <c:size val="6"/>
          <c:spPr>
            <a:solidFill>
              <a:schemeClr val="lt1"/>
            </a:solidFill>
            <a:ln w="15875">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spPr>
            <a:ln>
              <a:solidFill>
                <a:srgbClr val="C00000"/>
              </a:solidFill>
            </a:ln>
          </c:spPr>
          <c:dPt>
            <c:idx val="0"/>
            <c:bubble3D val="0"/>
            <c:spPr>
              <a:solidFill>
                <a:schemeClr val="accent1"/>
              </a:solidFill>
              <a:ln>
                <a:solidFill>
                  <a:srgbClr val="C00000"/>
                </a:solidFill>
              </a:ln>
              <a:effectLst/>
            </c:spPr>
            <c:extLst>
              <c:ext xmlns:c16="http://schemas.microsoft.com/office/drawing/2014/chart" uri="{C3380CC4-5D6E-409C-BE32-E72D297353CC}">
                <c16:uniqueId val="{00000001-F23B-4B84-A86B-A6757CAACF2C}"/>
              </c:ext>
            </c:extLst>
          </c:dPt>
          <c:dPt>
            <c:idx val="1"/>
            <c:bubble3D val="0"/>
            <c:spPr>
              <a:solidFill>
                <a:schemeClr val="accent2"/>
              </a:solidFill>
              <a:ln>
                <a:solidFill>
                  <a:srgbClr val="C00000"/>
                </a:solidFill>
              </a:ln>
              <a:effectLst/>
            </c:spPr>
            <c:extLst>
              <c:ext xmlns:c16="http://schemas.microsoft.com/office/drawing/2014/chart" uri="{C3380CC4-5D6E-409C-BE32-E72D297353CC}">
                <c16:uniqueId val="{00000003-F23B-4B84-A86B-A6757CAACF2C}"/>
              </c:ext>
            </c:extLst>
          </c:dPt>
          <c:dPt>
            <c:idx val="2"/>
            <c:bubble3D val="0"/>
            <c:spPr>
              <a:solidFill>
                <a:schemeClr val="accent3"/>
              </a:solidFill>
              <a:ln>
                <a:solidFill>
                  <a:srgbClr val="C00000"/>
                </a:solidFill>
              </a:ln>
              <a:effectLst/>
            </c:spPr>
            <c:extLst>
              <c:ext xmlns:c16="http://schemas.microsoft.com/office/drawing/2014/chart" uri="{C3380CC4-5D6E-409C-BE32-E72D297353CC}">
                <c16:uniqueId val="{00000005-F23B-4B84-A86B-A6757CAACF2C}"/>
              </c:ext>
            </c:extLst>
          </c:dPt>
          <c:dPt>
            <c:idx val="3"/>
            <c:bubble3D val="0"/>
            <c:spPr>
              <a:solidFill>
                <a:schemeClr val="accent4"/>
              </a:solidFill>
              <a:ln>
                <a:solidFill>
                  <a:srgbClr val="C00000"/>
                </a:solidFill>
              </a:ln>
              <a:effectLst/>
            </c:spPr>
            <c:extLst>
              <c:ext xmlns:c16="http://schemas.microsoft.com/office/drawing/2014/chart" uri="{C3380CC4-5D6E-409C-BE32-E72D297353CC}">
                <c16:uniqueId val="{00000007-F23B-4B84-A86B-A6757CAACF2C}"/>
              </c:ext>
            </c:extLst>
          </c:dPt>
          <c:dPt>
            <c:idx val="4"/>
            <c:bubble3D val="0"/>
            <c:spPr>
              <a:solidFill>
                <a:schemeClr val="accent5"/>
              </a:solidFill>
              <a:ln>
                <a:solidFill>
                  <a:srgbClr val="C00000"/>
                </a:solidFill>
              </a:ln>
              <a:effectLst/>
            </c:spPr>
            <c:extLst>
              <c:ext xmlns:c16="http://schemas.microsoft.com/office/drawing/2014/chart" uri="{C3380CC4-5D6E-409C-BE32-E72D297353CC}">
                <c16:uniqueId val="{00000009-F23B-4B84-A86B-A6757CAACF2C}"/>
              </c:ext>
            </c:extLst>
          </c:dPt>
          <c:dPt>
            <c:idx val="5"/>
            <c:bubble3D val="0"/>
            <c:spPr>
              <a:solidFill>
                <a:schemeClr val="accent6"/>
              </a:solidFill>
              <a:ln>
                <a:solidFill>
                  <a:srgbClr val="C00000"/>
                </a:solidFill>
              </a:ln>
              <a:effectLst/>
            </c:spPr>
            <c:extLst>
              <c:ext xmlns:c16="http://schemas.microsoft.com/office/drawing/2014/chart" uri="{C3380CC4-5D6E-409C-BE32-E72D297353CC}">
                <c16:uniqueId val="{0000000B-F23B-4B84-A86B-A6757CAACF2C}"/>
              </c:ext>
            </c:extLst>
          </c:dPt>
          <c:dPt>
            <c:idx val="6"/>
            <c:bubble3D val="0"/>
            <c:spPr>
              <a:solidFill>
                <a:schemeClr val="accent1">
                  <a:lumMod val="60000"/>
                </a:schemeClr>
              </a:solidFill>
              <a:ln>
                <a:solidFill>
                  <a:srgbClr val="C00000"/>
                </a:solidFill>
              </a:ln>
              <a:effectLst/>
            </c:spPr>
            <c:extLst>
              <c:ext xmlns:c16="http://schemas.microsoft.com/office/drawing/2014/chart" uri="{C3380CC4-5D6E-409C-BE32-E72D297353CC}">
                <c16:uniqueId val="{0000000D-F23B-4B84-A86B-A6757CAACF2C}"/>
              </c:ext>
            </c:extLst>
          </c:dPt>
          <c:dPt>
            <c:idx val="7"/>
            <c:bubble3D val="0"/>
            <c:spPr>
              <a:solidFill>
                <a:schemeClr val="accent2">
                  <a:lumMod val="60000"/>
                </a:schemeClr>
              </a:solidFill>
              <a:ln>
                <a:solidFill>
                  <a:srgbClr val="C00000"/>
                </a:solidFill>
              </a:ln>
              <a:effectLst/>
            </c:spPr>
            <c:extLst>
              <c:ext xmlns:c16="http://schemas.microsoft.com/office/drawing/2014/chart" uri="{C3380CC4-5D6E-409C-BE32-E72D297353CC}">
                <c16:uniqueId val="{0000000F-F23B-4B84-A86B-A6757CAACF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8"/>
              <c:pt idx="0">
                <c:v>2000 Single Bed Double</c:v>
              </c:pt>
              <c:pt idx="1">
                <c:v>2000 Single Bed Single</c:v>
              </c:pt>
              <c:pt idx="2">
                <c:v>4000 Double Bed Deluxe</c:v>
              </c:pt>
              <c:pt idx="3">
                <c:v>4000 Double Bed Double</c:v>
              </c:pt>
              <c:pt idx="4">
                <c:v>4000 Double Bed Suite</c:v>
              </c:pt>
              <c:pt idx="5">
                <c:v>5000 Queen Bed Deluxe</c:v>
              </c:pt>
              <c:pt idx="6">
                <c:v>5000 Queen Bed Single</c:v>
              </c:pt>
              <c:pt idx="7">
                <c:v>6000 King Bed Suite</c:v>
              </c:pt>
            </c:strLit>
          </c:cat>
          <c:val>
            <c:numLit>
              <c:formatCode>General</c:formatCode>
              <c:ptCount val="8"/>
              <c:pt idx="0">
                <c:v>9</c:v>
              </c:pt>
              <c:pt idx="1">
                <c:v>30</c:v>
              </c:pt>
              <c:pt idx="2">
                <c:v>15</c:v>
              </c:pt>
              <c:pt idx="3">
                <c:v>17</c:v>
              </c:pt>
              <c:pt idx="4">
                <c:v>9</c:v>
              </c:pt>
              <c:pt idx="5">
                <c:v>13</c:v>
              </c:pt>
              <c:pt idx="6">
                <c:v>2</c:v>
              </c:pt>
              <c:pt idx="7">
                <c:v>14</c:v>
              </c:pt>
            </c:numLit>
          </c:val>
          <c:extLst>
            <c:ext xmlns:c16="http://schemas.microsoft.com/office/drawing/2014/chart" uri="{C3380CC4-5D6E-409C-BE32-E72D297353CC}">
              <c16:uniqueId val="{00000000-D517-42ED-91E2-8A4DCFA8415C}"/>
            </c:ext>
          </c:extLst>
        </c:ser>
        <c:dLbls>
          <c:showLegendKey val="0"/>
          <c:showVal val="0"/>
          <c:showCatName val="0"/>
          <c:showSerName val="0"/>
          <c:showPercent val="0"/>
          <c:showBubbleSize val="0"/>
          <c:showLeaderLines val="1"/>
        </c:dLbls>
        <c:firstSliceAng val="0"/>
      </c:pieChart>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71687">
          <a:srgbClr val="78C6EA"/>
        </a:gs>
        <a:gs pos="69375">
          <a:srgbClr val="7CC8EB"/>
        </a:gs>
        <a:gs pos="64750">
          <a:srgbClr val="84CBEC"/>
        </a:gs>
        <a:gs pos="55500">
          <a:srgbClr val="93D1EE"/>
        </a:gs>
        <a:gs pos="37000">
          <a:schemeClr val="accent5">
            <a:lumMod val="40000"/>
            <a:lumOff val="60000"/>
          </a:schemeClr>
        </a:gs>
        <a:gs pos="0">
          <a:schemeClr val="accent1">
            <a:lumMod val="5000"/>
            <a:lumOff val="95000"/>
          </a:schemeClr>
        </a:gs>
        <a:gs pos="74000">
          <a:srgbClr val="92D050"/>
        </a:gs>
        <a:gs pos="83000">
          <a:schemeClr val="accent1">
            <a:lumMod val="45000"/>
            <a:lumOff val="55000"/>
          </a:schemeClr>
        </a:gs>
        <a:gs pos="100000">
          <a:schemeClr val="accent1">
            <a:lumMod val="30000"/>
            <a:lumOff val="70000"/>
          </a:schemeClr>
        </a:gs>
      </a:gsLst>
      <a:lin ang="2700000" scaled="1"/>
      <a:tileRect/>
    </a:gra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solidFill>
            <a:schemeClr val="bg2">
              <a:lumMod val="75000"/>
            </a:schemeClr>
          </a:solidFill>
        </a:ln>
        <a:effectLst/>
        <a:sp3d>
          <a:contourClr>
            <a:schemeClr val="bg2">
              <a:lumMod val="75000"/>
            </a:schemeClr>
          </a:contourClr>
        </a:sp3d>
      </c:spPr>
    </c:sideWall>
    <c:backWall>
      <c:thickness val="0"/>
      <c:spPr>
        <a:noFill/>
        <a:ln>
          <a:solidFill>
            <a:schemeClr val="bg2">
              <a:lumMod val="75000"/>
            </a:schemeClr>
          </a:solidFill>
        </a:ln>
        <a:effectLst/>
        <a:sp3d>
          <a:contourClr>
            <a:schemeClr val="bg2">
              <a:lumMod val="75000"/>
            </a:schemeClr>
          </a:contourClr>
        </a:sp3d>
      </c:spPr>
    </c:backWall>
    <c:plotArea>
      <c:layout/>
      <c:line3DChart>
        <c:grouping val="standard"/>
        <c:varyColors val="0"/>
        <c:ser>
          <c:idx val="0"/>
          <c:order val="0"/>
          <c:tx>
            <c:v>Total</c:v>
          </c:tx>
          <c:spPr>
            <a:solidFill>
              <a:schemeClr val="accent1"/>
            </a:solidFill>
            <a:ln>
              <a:noFill/>
            </a:ln>
            <a:effectLst/>
            <a:sp3d/>
          </c:spPr>
          <c:cat>
            <c:strLit>
              <c:ptCount val="50"/>
              <c:pt idx="0">
                <c:v>R102 Single B001</c:v>
              </c:pt>
              <c:pt idx="1">
                <c:v>R103 Double B002</c:v>
              </c:pt>
              <c:pt idx="2">
                <c:v>R104 Deluxe B003</c:v>
              </c:pt>
              <c:pt idx="3">
                <c:v>R105 Suite B004</c:v>
              </c:pt>
              <c:pt idx="4">
                <c:v>R106 Single B005</c:v>
              </c:pt>
              <c:pt idx="5">
                <c:v>R107 Double B006</c:v>
              </c:pt>
              <c:pt idx="6">
                <c:v>R108 Deluxe B007</c:v>
              </c:pt>
              <c:pt idx="7">
                <c:v>R109 Suite B008</c:v>
              </c:pt>
              <c:pt idx="8">
                <c:v>R110 Single B009</c:v>
              </c:pt>
              <c:pt idx="9">
                <c:v>R111 Double B010</c:v>
              </c:pt>
              <c:pt idx="10">
                <c:v>R112 Deluxe B011</c:v>
              </c:pt>
              <c:pt idx="11">
                <c:v>R113 Suite B012</c:v>
              </c:pt>
              <c:pt idx="12">
                <c:v>R114 Single B013</c:v>
              </c:pt>
              <c:pt idx="13">
                <c:v>R115 Double B014</c:v>
              </c:pt>
              <c:pt idx="14">
                <c:v>R116 Deluxe B015</c:v>
              </c:pt>
              <c:pt idx="15">
                <c:v>R117 Suite B016</c:v>
              </c:pt>
              <c:pt idx="16">
                <c:v>R118 Single B017</c:v>
              </c:pt>
              <c:pt idx="17">
                <c:v>R119 Double B018</c:v>
              </c:pt>
              <c:pt idx="18">
                <c:v>R120 Deluxe B019</c:v>
              </c:pt>
              <c:pt idx="19">
                <c:v>R121 Suite B020</c:v>
              </c:pt>
              <c:pt idx="20">
                <c:v>R122 Single B021</c:v>
              </c:pt>
              <c:pt idx="21">
                <c:v>R123 Double B022</c:v>
              </c:pt>
              <c:pt idx="22">
                <c:v>R124 Deluxe B023</c:v>
              </c:pt>
              <c:pt idx="23">
                <c:v>R125 Suite B024</c:v>
              </c:pt>
              <c:pt idx="24">
                <c:v>R126 Single B025</c:v>
              </c:pt>
              <c:pt idx="25">
                <c:v>R127 Double B026</c:v>
              </c:pt>
              <c:pt idx="26">
                <c:v>R128 Deluxe B027</c:v>
              </c:pt>
              <c:pt idx="27">
                <c:v>R129 Suite B028</c:v>
              </c:pt>
              <c:pt idx="28">
                <c:v>R130 Single B029</c:v>
              </c:pt>
              <c:pt idx="29">
                <c:v>R131 Double B030</c:v>
              </c:pt>
              <c:pt idx="30">
                <c:v>R132 Deluxe B031</c:v>
              </c:pt>
              <c:pt idx="31">
                <c:v>R133 Suite B032</c:v>
              </c:pt>
              <c:pt idx="32">
                <c:v>R134 Single B033</c:v>
              </c:pt>
              <c:pt idx="33">
                <c:v>R135 Double B034</c:v>
              </c:pt>
              <c:pt idx="34">
                <c:v>R136 Deluxe B035</c:v>
              </c:pt>
              <c:pt idx="35">
                <c:v>R137 Suite B036</c:v>
              </c:pt>
              <c:pt idx="36">
                <c:v>R138 Single B037</c:v>
              </c:pt>
              <c:pt idx="37">
                <c:v>R139 Double B038</c:v>
              </c:pt>
              <c:pt idx="38">
                <c:v>R140 Deluxe B039</c:v>
              </c:pt>
              <c:pt idx="39">
                <c:v>R141 Suite B040</c:v>
              </c:pt>
              <c:pt idx="40">
                <c:v>R142 Single B041</c:v>
              </c:pt>
              <c:pt idx="41">
                <c:v>R143 Double B042</c:v>
              </c:pt>
              <c:pt idx="42">
                <c:v>R144 Deluxe B043</c:v>
              </c:pt>
              <c:pt idx="43">
                <c:v>R145 Suite B044</c:v>
              </c:pt>
              <c:pt idx="44">
                <c:v>R146 Single B045</c:v>
              </c:pt>
              <c:pt idx="45">
                <c:v>R147 Single B046</c:v>
              </c:pt>
              <c:pt idx="46">
                <c:v>R148 Double B047</c:v>
              </c:pt>
              <c:pt idx="47">
                <c:v>R149 Deluxe B048</c:v>
              </c:pt>
              <c:pt idx="48">
                <c:v>R150 Suite B049</c:v>
              </c:pt>
              <c:pt idx="49">
                <c:v>R151 Single B050</c:v>
              </c:pt>
            </c:strLit>
          </c:cat>
          <c:val>
            <c:numLit>
              <c:formatCode>General</c:formatCode>
              <c:ptCount val="50"/>
              <c:pt idx="0">
                <c:v>1</c:v>
              </c:pt>
              <c:pt idx="1">
                <c:v>3</c:v>
              </c:pt>
              <c:pt idx="2">
                <c:v>2</c:v>
              </c:pt>
              <c:pt idx="3">
                <c:v>1</c:v>
              </c:pt>
              <c:pt idx="4">
                <c:v>4</c:v>
              </c:pt>
              <c:pt idx="5">
                <c:v>2</c:v>
              </c:pt>
              <c:pt idx="6">
                <c:v>2</c:v>
              </c:pt>
              <c:pt idx="7">
                <c:v>1</c:v>
              </c:pt>
              <c:pt idx="8">
                <c:v>3</c:v>
              </c:pt>
              <c:pt idx="9">
                <c:v>2</c:v>
              </c:pt>
              <c:pt idx="10">
                <c:v>1</c:v>
              </c:pt>
              <c:pt idx="11">
                <c:v>4</c:v>
              </c:pt>
              <c:pt idx="12">
                <c:v>2</c:v>
              </c:pt>
              <c:pt idx="13">
                <c:v>2</c:v>
              </c:pt>
              <c:pt idx="14">
                <c:v>1</c:v>
              </c:pt>
              <c:pt idx="15">
                <c:v>3</c:v>
              </c:pt>
              <c:pt idx="16">
                <c:v>2</c:v>
              </c:pt>
              <c:pt idx="17">
                <c:v>1</c:v>
              </c:pt>
              <c:pt idx="18">
                <c:v>4</c:v>
              </c:pt>
              <c:pt idx="19">
                <c:v>2</c:v>
              </c:pt>
              <c:pt idx="20">
                <c:v>2</c:v>
              </c:pt>
              <c:pt idx="21">
                <c:v>1</c:v>
              </c:pt>
              <c:pt idx="22">
                <c:v>3</c:v>
              </c:pt>
              <c:pt idx="23">
                <c:v>2</c:v>
              </c:pt>
              <c:pt idx="24">
                <c:v>1</c:v>
              </c:pt>
              <c:pt idx="25">
                <c:v>4</c:v>
              </c:pt>
              <c:pt idx="26">
                <c:v>2</c:v>
              </c:pt>
              <c:pt idx="27">
                <c:v>2</c:v>
              </c:pt>
              <c:pt idx="28">
                <c:v>4</c:v>
              </c:pt>
              <c:pt idx="29">
                <c:v>1</c:v>
              </c:pt>
              <c:pt idx="30">
                <c:v>3</c:v>
              </c:pt>
              <c:pt idx="31">
                <c:v>2</c:v>
              </c:pt>
              <c:pt idx="32">
                <c:v>1</c:v>
              </c:pt>
              <c:pt idx="33">
                <c:v>4</c:v>
              </c:pt>
              <c:pt idx="34">
                <c:v>2</c:v>
              </c:pt>
              <c:pt idx="35">
                <c:v>2</c:v>
              </c:pt>
              <c:pt idx="36">
                <c:v>1</c:v>
              </c:pt>
              <c:pt idx="37">
                <c:v>3</c:v>
              </c:pt>
              <c:pt idx="38">
                <c:v>2</c:v>
              </c:pt>
              <c:pt idx="39">
                <c:v>1</c:v>
              </c:pt>
              <c:pt idx="40">
                <c:v>4</c:v>
              </c:pt>
              <c:pt idx="41">
                <c:v>2</c:v>
              </c:pt>
              <c:pt idx="42">
                <c:v>2</c:v>
              </c:pt>
              <c:pt idx="43">
                <c:v>1</c:v>
              </c:pt>
              <c:pt idx="44">
                <c:v>3</c:v>
              </c:pt>
              <c:pt idx="45">
                <c:v>2</c:v>
              </c:pt>
              <c:pt idx="46">
                <c:v>1</c:v>
              </c:pt>
              <c:pt idx="47">
                <c:v>4</c:v>
              </c:pt>
              <c:pt idx="48">
                <c:v>2</c:v>
              </c:pt>
              <c:pt idx="49">
                <c:v>2</c:v>
              </c:pt>
            </c:numLit>
          </c:val>
          <c:smooth val="0"/>
          <c:extLst>
            <c:ext xmlns:c16="http://schemas.microsoft.com/office/drawing/2014/chart" uri="{C3380CC4-5D6E-409C-BE32-E72D297353CC}">
              <c16:uniqueId val="{00000000-A88F-4452-8AF5-0AB0DEAB3FAC}"/>
            </c:ext>
          </c:extLst>
        </c:ser>
        <c:dLbls>
          <c:showLegendKey val="0"/>
          <c:showVal val="0"/>
          <c:showCatName val="0"/>
          <c:showSerName val="0"/>
          <c:showPercent val="0"/>
          <c:showBubbleSize val="0"/>
        </c:dLbls>
        <c:axId val="1424874319"/>
        <c:axId val="1424868079"/>
        <c:axId val="106959599"/>
      </c:line3DChart>
      <c:catAx>
        <c:axId val="142487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68079"/>
        <c:crosses val="autoZero"/>
        <c:auto val="1"/>
        <c:lblAlgn val="ctr"/>
        <c:lblOffset val="100"/>
        <c:noMultiLvlLbl val="0"/>
      </c:catAx>
      <c:valAx>
        <c:axId val="142486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74319"/>
        <c:crosses val="autoZero"/>
        <c:crossBetween val="between"/>
      </c:valAx>
      <c:serAx>
        <c:axId val="10695959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680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FFFF00"/>
        </a:gs>
        <a:gs pos="50000">
          <a:schemeClr val="accent1">
            <a:tint val="44500"/>
            <a:satMod val="160000"/>
          </a:schemeClr>
        </a:gs>
        <a:gs pos="100000">
          <a:srgbClr val="00B0F0"/>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Floor No</c:v>
          </c:tx>
          <c:spPr>
            <a:solidFill>
              <a:schemeClr val="accent1"/>
            </a:solidFill>
            <a:ln>
              <a:noFill/>
            </a:ln>
            <a:effectLst/>
          </c:spPr>
          <c:invertIfNegative val="0"/>
          <c:cat>
            <c:strLit>
              <c:ptCount val="8"/>
              <c:pt idx="0">
                <c:v>Feb</c:v>
              </c:pt>
              <c:pt idx="1">
                <c:v>Mar</c:v>
              </c:pt>
              <c:pt idx="2">
                <c:v>Apr</c:v>
              </c:pt>
              <c:pt idx="3">
                <c:v>May</c:v>
              </c:pt>
              <c:pt idx="4">
                <c:v>Jun</c:v>
              </c:pt>
              <c:pt idx="5">
                <c:v>Aug</c:v>
              </c:pt>
              <c:pt idx="6">
                <c:v>Sep</c:v>
              </c:pt>
              <c:pt idx="7">
                <c:v>Dec</c:v>
              </c:pt>
            </c:strLit>
          </c:cat>
          <c:val>
            <c:numLit>
              <c:formatCode>General</c:formatCode>
              <c:ptCount val="8"/>
              <c:pt idx="0">
                <c:v>12</c:v>
              </c:pt>
              <c:pt idx="1">
                <c:v>21</c:v>
              </c:pt>
              <c:pt idx="2">
                <c:v>13</c:v>
              </c:pt>
              <c:pt idx="3">
                <c:v>8</c:v>
              </c:pt>
              <c:pt idx="4">
                <c:v>8</c:v>
              </c:pt>
              <c:pt idx="5">
                <c:v>25</c:v>
              </c:pt>
              <c:pt idx="6">
                <c:v>11</c:v>
              </c:pt>
              <c:pt idx="7">
                <c:v>11</c:v>
              </c:pt>
            </c:numLit>
          </c:val>
          <c:extLst>
            <c:ext xmlns:c16="http://schemas.microsoft.com/office/drawing/2014/chart" uri="{C3380CC4-5D6E-409C-BE32-E72D297353CC}">
              <c16:uniqueId val="{00000000-3288-4EB7-9EAC-63EF6E79C60C}"/>
            </c:ext>
          </c:extLst>
        </c:ser>
        <c:ser>
          <c:idx val="1"/>
          <c:order val="1"/>
          <c:tx>
            <c:v>Sum of Total Bill</c:v>
          </c:tx>
          <c:spPr>
            <a:solidFill>
              <a:schemeClr val="accent2"/>
            </a:solidFill>
            <a:ln>
              <a:solidFill>
                <a:schemeClr val="tx1"/>
              </a:solidFill>
            </a:ln>
            <a:effectLst/>
          </c:spPr>
          <c:invertIfNegative val="0"/>
          <c:cat>
            <c:strLit>
              <c:ptCount val="8"/>
              <c:pt idx="0">
                <c:v>Feb</c:v>
              </c:pt>
              <c:pt idx="1">
                <c:v>Mar</c:v>
              </c:pt>
              <c:pt idx="2">
                <c:v>Apr</c:v>
              </c:pt>
              <c:pt idx="3">
                <c:v>May</c:v>
              </c:pt>
              <c:pt idx="4">
                <c:v>Jun</c:v>
              </c:pt>
              <c:pt idx="5">
                <c:v>Aug</c:v>
              </c:pt>
              <c:pt idx="6">
                <c:v>Sep</c:v>
              </c:pt>
              <c:pt idx="7">
                <c:v>Dec</c:v>
              </c:pt>
            </c:strLit>
          </c:cat>
          <c:val>
            <c:numLit>
              <c:formatCode>General</c:formatCode>
              <c:ptCount val="8"/>
              <c:pt idx="0">
                <c:v>29000</c:v>
              </c:pt>
              <c:pt idx="1">
                <c:v>79000</c:v>
              </c:pt>
              <c:pt idx="2">
                <c:v>38000</c:v>
              </c:pt>
              <c:pt idx="3">
                <c:v>34000</c:v>
              </c:pt>
              <c:pt idx="4">
                <c:v>33000</c:v>
              </c:pt>
              <c:pt idx="5">
                <c:v>79000</c:v>
              </c:pt>
              <c:pt idx="6">
                <c:v>34000</c:v>
              </c:pt>
              <c:pt idx="7">
                <c:v>26000</c:v>
              </c:pt>
            </c:numLit>
          </c:val>
          <c:extLst>
            <c:ext xmlns:c16="http://schemas.microsoft.com/office/drawing/2014/chart" uri="{C3380CC4-5D6E-409C-BE32-E72D297353CC}">
              <c16:uniqueId val="{00000001-3288-4EB7-9EAC-63EF6E79C60C}"/>
            </c:ext>
          </c:extLst>
        </c:ser>
        <c:dLbls>
          <c:showLegendKey val="0"/>
          <c:showVal val="0"/>
          <c:showCatName val="0"/>
          <c:showSerName val="0"/>
          <c:showPercent val="0"/>
          <c:showBubbleSize val="0"/>
        </c:dLbls>
        <c:gapWidth val="219"/>
        <c:overlap val="-27"/>
        <c:axId val="1602068191"/>
        <c:axId val="1602052831"/>
      </c:barChart>
      <c:catAx>
        <c:axId val="160206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02052831"/>
        <c:crosses val="autoZero"/>
        <c:auto val="1"/>
        <c:lblAlgn val="ctr"/>
        <c:lblOffset val="100"/>
        <c:noMultiLvlLbl val="0"/>
      </c:catAx>
      <c:valAx>
        <c:axId val="160205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0206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2"/>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tx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Sum of Floor 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8"/>
              <c:pt idx="0">
                <c:v>Feb</c:v>
              </c:pt>
              <c:pt idx="1">
                <c:v>Mar</c:v>
              </c:pt>
              <c:pt idx="2">
                <c:v>Apr</c:v>
              </c:pt>
              <c:pt idx="3">
                <c:v>May</c:v>
              </c:pt>
              <c:pt idx="4">
                <c:v>Jun</c:v>
              </c:pt>
              <c:pt idx="5">
                <c:v>Aug</c:v>
              </c:pt>
              <c:pt idx="6">
                <c:v>Sep</c:v>
              </c:pt>
              <c:pt idx="7">
                <c:v>Dec</c:v>
              </c:pt>
            </c:strLit>
          </c:cat>
          <c:val>
            <c:numLit>
              <c:formatCode>General</c:formatCode>
              <c:ptCount val="8"/>
              <c:pt idx="0">
                <c:v>12</c:v>
              </c:pt>
              <c:pt idx="1">
                <c:v>21</c:v>
              </c:pt>
              <c:pt idx="2">
                <c:v>13</c:v>
              </c:pt>
              <c:pt idx="3">
                <c:v>8</c:v>
              </c:pt>
              <c:pt idx="4">
                <c:v>8</c:v>
              </c:pt>
              <c:pt idx="5">
                <c:v>25</c:v>
              </c:pt>
              <c:pt idx="6">
                <c:v>11</c:v>
              </c:pt>
              <c:pt idx="7">
                <c:v>11</c:v>
              </c:pt>
            </c:numLit>
          </c:val>
          <c:smooth val="0"/>
          <c:extLst>
            <c:ext xmlns:c16="http://schemas.microsoft.com/office/drawing/2014/chart" uri="{C3380CC4-5D6E-409C-BE32-E72D297353CC}">
              <c16:uniqueId val="{00000000-DE16-49FD-8290-4AA127ACD7CC}"/>
            </c:ext>
          </c:extLst>
        </c:ser>
        <c:ser>
          <c:idx val="1"/>
          <c:order val="1"/>
          <c:tx>
            <c:v>Sum of Total Bill</c:v>
          </c:tx>
          <c:spPr>
            <a:ln w="28575" cap="rnd">
              <a:solidFill>
                <a:schemeClr val="tx1"/>
              </a:solidFill>
              <a:round/>
            </a:ln>
            <a:effectLst/>
          </c:spPr>
          <c:marker>
            <c:symbol val="circle"/>
            <c:size val="5"/>
            <c:spPr>
              <a:solidFill>
                <a:schemeClr val="accent2"/>
              </a:solidFill>
              <a:ln w="9525">
                <a:solidFill>
                  <a:schemeClr val="accent2"/>
                </a:solidFill>
              </a:ln>
              <a:effectLst/>
            </c:spPr>
          </c:marker>
          <c:cat>
            <c:strLit>
              <c:ptCount val="8"/>
              <c:pt idx="0">
                <c:v>Feb</c:v>
              </c:pt>
              <c:pt idx="1">
                <c:v>Mar</c:v>
              </c:pt>
              <c:pt idx="2">
                <c:v>Apr</c:v>
              </c:pt>
              <c:pt idx="3">
                <c:v>May</c:v>
              </c:pt>
              <c:pt idx="4">
                <c:v>Jun</c:v>
              </c:pt>
              <c:pt idx="5">
                <c:v>Aug</c:v>
              </c:pt>
              <c:pt idx="6">
                <c:v>Sep</c:v>
              </c:pt>
              <c:pt idx="7">
                <c:v>Dec</c:v>
              </c:pt>
            </c:strLit>
          </c:cat>
          <c:val>
            <c:numLit>
              <c:formatCode>General</c:formatCode>
              <c:ptCount val="8"/>
              <c:pt idx="0">
                <c:v>29000</c:v>
              </c:pt>
              <c:pt idx="1">
                <c:v>79000</c:v>
              </c:pt>
              <c:pt idx="2">
                <c:v>38000</c:v>
              </c:pt>
              <c:pt idx="3">
                <c:v>34000</c:v>
              </c:pt>
              <c:pt idx="4">
                <c:v>33000</c:v>
              </c:pt>
              <c:pt idx="5">
                <c:v>79000</c:v>
              </c:pt>
              <c:pt idx="6">
                <c:v>34000</c:v>
              </c:pt>
              <c:pt idx="7">
                <c:v>26000</c:v>
              </c:pt>
            </c:numLit>
          </c:val>
          <c:smooth val="0"/>
          <c:extLst>
            <c:ext xmlns:c16="http://schemas.microsoft.com/office/drawing/2014/chart" uri="{C3380CC4-5D6E-409C-BE32-E72D297353CC}">
              <c16:uniqueId val="{00000001-DE16-49FD-8290-4AA127ACD7CC}"/>
            </c:ext>
          </c:extLst>
        </c:ser>
        <c:dLbls>
          <c:showLegendKey val="0"/>
          <c:showVal val="0"/>
          <c:showCatName val="0"/>
          <c:showSerName val="0"/>
          <c:showPercent val="0"/>
          <c:showBubbleSize val="0"/>
        </c:dLbls>
        <c:marker val="1"/>
        <c:smooth val="0"/>
        <c:axId val="1602068191"/>
        <c:axId val="1602052831"/>
      </c:lineChart>
      <c:catAx>
        <c:axId val="160206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02052831"/>
        <c:crosses val="autoZero"/>
        <c:auto val="1"/>
        <c:lblAlgn val="ctr"/>
        <c:lblOffset val="100"/>
        <c:noMultiLvlLbl val="0"/>
      </c:catAx>
      <c:valAx>
        <c:axId val="160205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0206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2">
            <a:lumMod val="75000"/>
          </a:schemeClr>
        </a:gs>
        <a:gs pos="50000">
          <a:schemeClr val="accent1">
            <a:tint val="44500"/>
            <a:satMod val="160000"/>
          </a:schemeClr>
        </a:gs>
        <a:gs pos="100000">
          <a:schemeClr val="accent5">
            <a:lumMod val="40000"/>
            <a:lumOff val="60000"/>
          </a:schemeClr>
        </a:gs>
      </a:gsLst>
      <a:lin ang="5400000" scaled="1"/>
    </a:gradFill>
    <a:ln w="9525" cap="flat" cmpd="sng" algn="ctr">
      <a:solidFill>
        <a:schemeClr val="tx2"/>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Total Bill</c:v>
          </c:tx>
          <c:spPr>
            <a:solidFill>
              <a:schemeClr val="accent1"/>
            </a:solidFill>
            <a:ln>
              <a:noFill/>
            </a:ln>
            <a:effectLst/>
          </c:spPr>
          <c:invertIfNegative val="0"/>
          <c:cat>
            <c:strLit>
              <c:ptCount val="8"/>
              <c:pt idx="0">
                <c:v>Feb</c:v>
              </c:pt>
              <c:pt idx="1">
                <c:v>Mar</c:v>
              </c:pt>
              <c:pt idx="2">
                <c:v>Apr</c:v>
              </c:pt>
              <c:pt idx="3">
                <c:v>May</c:v>
              </c:pt>
              <c:pt idx="4">
                <c:v>Jun</c:v>
              </c:pt>
              <c:pt idx="5">
                <c:v>Aug</c:v>
              </c:pt>
              <c:pt idx="6">
                <c:v>Sep</c:v>
              </c:pt>
              <c:pt idx="7">
                <c:v>Dec</c:v>
              </c:pt>
            </c:strLit>
          </c:cat>
          <c:val>
            <c:numLit>
              <c:formatCode>General</c:formatCode>
              <c:ptCount val="8"/>
              <c:pt idx="0">
                <c:v>29000</c:v>
              </c:pt>
              <c:pt idx="1">
                <c:v>79000</c:v>
              </c:pt>
              <c:pt idx="2">
                <c:v>38000</c:v>
              </c:pt>
              <c:pt idx="3">
                <c:v>34000</c:v>
              </c:pt>
              <c:pt idx="4">
                <c:v>33000</c:v>
              </c:pt>
              <c:pt idx="5">
                <c:v>79000</c:v>
              </c:pt>
              <c:pt idx="6">
                <c:v>34000</c:v>
              </c:pt>
              <c:pt idx="7">
                <c:v>26000</c:v>
              </c:pt>
            </c:numLit>
          </c:val>
          <c:extLst>
            <c:ext xmlns:c16="http://schemas.microsoft.com/office/drawing/2014/chart" uri="{C3380CC4-5D6E-409C-BE32-E72D297353CC}">
              <c16:uniqueId val="{00000000-AB07-4D78-95E1-0CED093D97A5}"/>
            </c:ext>
          </c:extLst>
        </c:ser>
        <c:ser>
          <c:idx val="1"/>
          <c:order val="1"/>
          <c:tx>
            <c:v>Sum of Food Amount</c:v>
          </c:tx>
          <c:spPr>
            <a:solidFill>
              <a:schemeClr val="accent2"/>
            </a:solidFill>
            <a:ln>
              <a:noFill/>
            </a:ln>
            <a:effectLst/>
          </c:spPr>
          <c:invertIfNegative val="0"/>
          <c:cat>
            <c:strLit>
              <c:ptCount val="8"/>
              <c:pt idx="0">
                <c:v>Feb</c:v>
              </c:pt>
              <c:pt idx="1">
                <c:v>Mar</c:v>
              </c:pt>
              <c:pt idx="2">
                <c:v>Apr</c:v>
              </c:pt>
              <c:pt idx="3">
                <c:v>May</c:v>
              </c:pt>
              <c:pt idx="4">
                <c:v>Jun</c:v>
              </c:pt>
              <c:pt idx="5">
                <c:v>Aug</c:v>
              </c:pt>
              <c:pt idx="6">
                <c:v>Sep</c:v>
              </c:pt>
              <c:pt idx="7">
                <c:v>Dec</c:v>
              </c:pt>
            </c:strLit>
          </c:cat>
          <c:val>
            <c:numLit>
              <c:formatCode>General</c:formatCode>
              <c:ptCount val="8"/>
              <c:pt idx="0">
                <c:v>9000</c:v>
              </c:pt>
              <c:pt idx="1">
                <c:v>42000</c:v>
              </c:pt>
              <c:pt idx="2">
                <c:v>20000</c:v>
              </c:pt>
              <c:pt idx="3">
                <c:v>17000</c:v>
              </c:pt>
              <c:pt idx="4">
                <c:v>12000</c:v>
              </c:pt>
              <c:pt idx="5">
                <c:v>42000</c:v>
              </c:pt>
              <c:pt idx="6">
                <c:v>14000</c:v>
              </c:pt>
              <c:pt idx="7">
                <c:v>11000</c:v>
              </c:pt>
            </c:numLit>
          </c:val>
          <c:extLst>
            <c:ext xmlns:c16="http://schemas.microsoft.com/office/drawing/2014/chart" uri="{C3380CC4-5D6E-409C-BE32-E72D297353CC}">
              <c16:uniqueId val="{00000001-AB07-4D78-95E1-0CED093D97A5}"/>
            </c:ext>
          </c:extLst>
        </c:ser>
        <c:ser>
          <c:idx val="2"/>
          <c:order val="2"/>
          <c:tx>
            <c:v>Sum of Floor No</c:v>
          </c:tx>
          <c:spPr>
            <a:solidFill>
              <a:schemeClr val="accent3"/>
            </a:solidFill>
            <a:ln>
              <a:noFill/>
            </a:ln>
            <a:effectLst/>
          </c:spPr>
          <c:invertIfNegative val="0"/>
          <c:cat>
            <c:strLit>
              <c:ptCount val="8"/>
              <c:pt idx="0">
                <c:v>Feb</c:v>
              </c:pt>
              <c:pt idx="1">
                <c:v>Mar</c:v>
              </c:pt>
              <c:pt idx="2">
                <c:v>Apr</c:v>
              </c:pt>
              <c:pt idx="3">
                <c:v>May</c:v>
              </c:pt>
              <c:pt idx="4">
                <c:v>Jun</c:v>
              </c:pt>
              <c:pt idx="5">
                <c:v>Aug</c:v>
              </c:pt>
              <c:pt idx="6">
                <c:v>Sep</c:v>
              </c:pt>
              <c:pt idx="7">
                <c:v>Dec</c:v>
              </c:pt>
            </c:strLit>
          </c:cat>
          <c:val>
            <c:numLit>
              <c:formatCode>General</c:formatCode>
              <c:ptCount val="8"/>
              <c:pt idx="0">
                <c:v>12</c:v>
              </c:pt>
              <c:pt idx="1">
                <c:v>21</c:v>
              </c:pt>
              <c:pt idx="2">
                <c:v>13</c:v>
              </c:pt>
              <c:pt idx="3">
                <c:v>8</c:v>
              </c:pt>
              <c:pt idx="4">
                <c:v>8</c:v>
              </c:pt>
              <c:pt idx="5">
                <c:v>25</c:v>
              </c:pt>
              <c:pt idx="6">
                <c:v>11</c:v>
              </c:pt>
              <c:pt idx="7">
                <c:v>11</c:v>
              </c:pt>
            </c:numLit>
          </c:val>
          <c:extLst>
            <c:ext xmlns:c16="http://schemas.microsoft.com/office/drawing/2014/chart" uri="{C3380CC4-5D6E-409C-BE32-E72D297353CC}">
              <c16:uniqueId val="{00000002-AB07-4D78-95E1-0CED093D97A5}"/>
            </c:ext>
          </c:extLst>
        </c:ser>
        <c:dLbls>
          <c:showLegendKey val="0"/>
          <c:showVal val="0"/>
          <c:showCatName val="0"/>
          <c:showSerName val="0"/>
          <c:showPercent val="0"/>
          <c:showBubbleSize val="0"/>
        </c:dLbls>
        <c:gapWidth val="267"/>
        <c:overlap val="-43"/>
        <c:axId val="1257666399"/>
        <c:axId val="1257658719"/>
      </c:barChart>
      <c:catAx>
        <c:axId val="125766639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57658719"/>
        <c:crosses val="autoZero"/>
        <c:auto val="1"/>
        <c:lblAlgn val="ctr"/>
        <c:lblOffset val="100"/>
        <c:noMultiLvlLbl val="0"/>
      </c:catAx>
      <c:valAx>
        <c:axId val="1257658719"/>
        <c:scaling>
          <c:orientation val="minMax"/>
        </c:scaling>
        <c:delete val="0"/>
        <c:axPos val="l"/>
        <c:majorGridlines>
          <c:spPr>
            <a:ln w="12700" cap="flat" cmpd="sng" algn="ctr">
              <a:solidFill>
                <a:schemeClr val="accent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57666399"/>
        <c:crosses val="autoZero"/>
        <c:crossBetween val="between"/>
      </c:valAx>
      <c:spPr>
        <a:pattFill prst="ltDnDiag">
          <a:fgClr>
            <a:schemeClr val="dk1">
              <a:lumMod val="15000"/>
              <a:lumOff val="85000"/>
            </a:schemeClr>
          </a:fgClr>
          <a:bgClr>
            <a:schemeClr val="lt1"/>
          </a:bgClr>
        </a:pattFill>
        <a:ln>
          <a:solidFill>
            <a:schemeClr val="tx1">
              <a:lumMod val="85000"/>
              <a:lumOff val="1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rgbClr val="FFC000"/>
        </a:gs>
        <a:gs pos="50000">
          <a:schemeClr val="accent1">
            <a:tint val="44500"/>
            <a:satMod val="160000"/>
          </a:schemeClr>
        </a:gs>
        <a:gs pos="100000">
          <a:srgbClr val="92D050"/>
        </a:gs>
      </a:gsLst>
      <a:lin ang="5400000" scaled="1"/>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2700">
            <a:noFill/>
          </a:ln>
          <a:effectLst>
            <a:glow rad="63500">
              <a:schemeClr val="accent2">
                <a:satMod val="175000"/>
                <a:alpha val="40000"/>
              </a:schemeClr>
            </a:glo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solidFill>
            <a:sysClr val="windowText" lastClr="000000"/>
          </a:solidFill>
        </a:ln>
        <a:effectLst/>
        <a:sp3d>
          <a:contourClr>
            <a:sysClr val="windowText" lastClr="000000"/>
          </a:contourClr>
        </a:sp3d>
      </c:spPr>
    </c:sideWall>
    <c:backWall>
      <c:thickness val="0"/>
      <c:spPr>
        <a:pattFill prst="ltDnDiag">
          <a:fgClr>
            <a:schemeClr val="dk1">
              <a:lumMod val="15000"/>
              <a:lumOff val="85000"/>
            </a:schemeClr>
          </a:fgClr>
          <a:bgClr>
            <a:schemeClr val="lt1"/>
          </a:bgClr>
        </a:pattFill>
        <a:ln>
          <a:solidFill>
            <a:sysClr val="windowText" lastClr="000000"/>
          </a:solidFill>
        </a:ln>
        <a:effectLst/>
        <a:sp3d>
          <a:contourClr>
            <a:sysClr val="windowText" lastClr="000000"/>
          </a:contourClr>
        </a:sp3d>
      </c:spPr>
    </c:backWall>
    <c:plotArea>
      <c:layout/>
      <c:line3DChart>
        <c:grouping val="standard"/>
        <c:varyColors val="0"/>
        <c:ser>
          <c:idx val="0"/>
          <c:order val="0"/>
          <c:tx>
            <c:v>Sum of Total Bill</c:v>
          </c:tx>
          <c:spPr>
            <a:solidFill>
              <a:schemeClr val="accent1"/>
            </a:solidFill>
            <a:ln w="12700">
              <a:noFill/>
            </a:ln>
            <a:effectLst>
              <a:glow rad="63500">
                <a:schemeClr val="accent2">
                  <a:satMod val="175000"/>
                  <a:alpha val="40000"/>
                </a:schemeClr>
              </a:glow>
            </a:effectLst>
            <a:sp3d/>
          </c:spPr>
          <c:cat>
            <c:strLit>
              <c:ptCount val="8"/>
              <c:pt idx="0">
                <c:v>Feb</c:v>
              </c:pt>
              <c:pt idx="1">
                <c:v>Mar</c:v>
              </c:pt>
              <c:pt idx="2">
                <c:v>Apr</c:v>
              </c:pt>
              <c:pt idx="3">
                <c:v>May</c:v>
              </c:pt>
              <c:pt idx="4">
                <c:v>Jun</c:v>
              </c:pt>
              <c:pt idx="5">
                <c:v>Aug</c:v>
              </c:pt>
              <c:pt idx="6">
                <c:v>Sep</c:v>
              </c:pt>
              <c:pt idx="7">
                <c:v>Dec</c:v>
              </c:pt>
            </c:strLit>
          </c:cat>
          <c:val>
            <c:numLit>
              <c:formatCode>General</c:formatCode>
              <c:ptCount val="8"/>
              <c:pt idx="0">
                <c:v>29000</c:v>
              </c:pt>
              <c:pt idx="1">
                <c:v>79000</c:v>
              </c:pt>
              <c:pt idx="2">
                <c:v>38000</c:v>
              </c:pt>
              <c:pt idx="3">
                <c:v>34000</c:v>
              </c:pt>
              <c:pt idx="4">
                <c:v>33000</c:v>
              </c:pt>
              <c:pt idx="5">
                <c:v>79000</c:v>
              </c:pt>
              <c:pt idx="6">
                <c:v>34000</c:v>
              </c:pt>
              <c:pt idx="7">
                <c:v>26000</c:v>
              </c:pt>
            </c:numLit>
          </c:val>
          <c:smooth val="0"/>
          <c:extLst>
            <c:ext xmlns:c16="http://schemas.microsoft.com/office/drawing/2014/chart" uri="{C3380CC4-5D6E-409C-BE32-E72D297353CC}">
              <c16:uniqueId val="{00000000-AB07-4D78-95E1-0CED093D97A5}"/>
            </c:ext>
          </c:extLst>
        </c:ser>
        <c:ser>
          <c:idx val="1"/>
          <c:order val="1"/>
          <c:tx>
            <c:v>Sum of Food Amount</c:v>
          </c:tx>
          <c:spPr>
            <a:solidFill>
              <a:schemeClr val="accent2"/>
            </a:solidFill>
            <a:ln>
              <a:noFill/>
            </a:ln>
            <a:effectLst/>
            <a:sp3d/>
          </c:spPr>
          <c:cat>
            <c:strLit>
              <c:ptCount val="8"/>
              <c:pt idx="0">
                <c:v>Feb</c:v>
              </c:pt>
              <c:pt idx="1">
                <c:v>Mar</c:v>
              </c:pt>
              <c:pt idx="2">
                <c:v>Apr</c:v>
              </c:pt>
              <c:pt idx="3">
                <c:v>May</c:v>
              </c:pt>
              <c:pt idx="4">
                <c:v>Jun</c:v>
              </c:pt>
              <c:pt idx="5">
                <c:v>Aug</c:v>
              </c:pt>
              <c:pt idx="6">
                <c:v>Sep</c:v>
              </c:pt>
              <c:pt idx="7">
                <c:v>Dec</c:v>
              </c:pt>
            </c:strLit>
          </c:cat>
          <c:val>
            <c:numLit>
              <c:formatCode>General</c:formatCode>
              <c:ptCount val="8"/>
              <c:pt idx="0">
                <c:v>9000</c:v>
              </c:pt>
              <c:pt idx="1">
                <c:v>42000</c:v>
              </c:pt>
              <c:pt idx="2">
                <c:v>20000</c:v>
              </c:pt>
              <c:pt idx="3">
                <c:v>17000</c:v>
              </c:pt>
              <c:pt idx="4">
                <c:v>12000</c:v>
              </c:pt>
              <c:pt idx="5">
                <c:v>42000</c:v>
              </c:pt>
              <c:pt idx="6">
                <c:v>14000</c:v>
              </c:pt>
              <c:pt idx="7">
                <c:v>11000</c:v>
              </c:pt>
            </c:numLit>
          </c:val>
          <c:smooth val="0"/>
          <c:extLst>
            <c:ext xmlns:c16="http://schemas.microsoft.com/office/drawing/2014/chart" uri="{C3380CC4-5D6E-409C-BE32-E72D297353CC}">
              <c16:uniqueId val="{00000001-AB07-4D78-95E1-0CED093D97A5}"/>
            </c:ext>
          </c:extLst>
        </c:ser>
        <c:ser>
          <c:idx val="2"/>
          <c:order val="2"/>
          <c:tx>
            <c:v>Sum of Floor No</c:v>
          </c:tx>
          <c:spPr>
            <a:solidFill>
              <a:schemeClr val="accent3"/>
            </a:solidFill>
            <a:ln>
              <a:noFill/>
            </a:ln>
            <a:effectLst/>
            <a:sp3d/>
          </c:spPr>
          <c:cat>
            <c:strLit>
              <c:ptCount val="8"/>
              <c:pt idx="0">
                <c:v>Feb</c:v>
              </c:pt>
              <c:pt idx="1">
                <c:v>Mar</c:v>
              </c:pt>
              <c:pt idx="2">
                <c:v>Apr</c:v>
              </c:pt>
              <c:pt idx="3">
                <c:v>May</c:v>
              </c:pt>
              <c:pt idx="4">
                <c:v>Jun</c:v>
              </c:pt>
              <c:pt idx="5">
                <c:v>Aug</c:v>
              </c:pt>
              <c:pt idx="6">
                <c:v>Sep</c:v>
              </c:pt>
              <c:pt idx="7">
                <c:v>Dec</c:v>
              </c:pt>
            </c:strLit>
          </c:cat>
          <c:val>
            <c:numLit>
              <c:formatCode>General</c:formatCode>
              <c:ptCount val="8"/>
              <c:pt idx="0">
                <c:v>12</c:v>
              </c:pt>
              <c:pt idx="1">
                <c:v>21</c:v>
              </c:pt>
              <c:pt idx="2">
                <c:v>13</c:v>
              </c:pt>
              <c:pt idx="3">
                <c:v>8</c:v>
              </c:pt>
              <c:pt idx="4">
                <c:v>8</c:v>
              </c:pt>
              <c:pt idx="5">
                <c:v>25</c:v>
              </c:pt>
              <c:pt idx="6">
                <c:v>11</c:v>
              </c:pt>
              <c:pt idx="7">
                <c:v>11</c:v>
              </c:pt>
            </c:numLit>
          </c:val>
          <c:smooth val="0"/>
          <c:extLst>
            <c:ext xmlns:c16="http://schemas.microsoft.com/office/drawing/2014/chart" uri="{C3380CC4-5D6E-409C-BE32-E72D297353CC}">
              <c16:uniqueId val="{00000002-AB07-4D78-95E1-0CED093D97A5}"/>
            </c:ext>
          </c:extLst>
        </c:ser>
        <c:dLbls>
          <c:showLegendKey val="0"/>
          <c:showVal val="0"/>
          <c:showCatName val="0"/>
          <c:showSerName val="0"/>
          <c:showPercent val="0"/>
          <c:showBubbleSize val="0"/>
        </c:dLbls>
        <c:axId val="1257666399"/>
        <c:axId val="1257658719"/>
        <c:axId val="1824374575"/>
      </c:line3DChart>
      <c:catAx>
        <c:axId val="12576663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57658719"/>
        <c:crosses val="autoZero"/>
        <c:auto val="1"/>
        <c:lblAlgn val="ctr"/>
        <c:lblOffset val="100"/>
        <c:noMultiLvlLbl val="0"/>
      </c:catAx>
      <c:valAx>
        <c:axId val="1257658719"/>
        <c:scaling>
          <c:orientation val="minMax"/>
        </c:scaling>
        <c:delete val="0"/>
        <c:axPos val="l"/>
        <c:majorGridlines>
          <c:spPr>
            <a:ln w="12700" cap="flat" cmpd="sng" algn="ctr">
              <a:solidFill>
                <a:schemeClr val="accent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ysClr val="windowText" lastClr="000000"/>
                </a:solidFill>
                <a:latin typeface="+mn-lt"/>
                <a:ea typeface="+mn-ea"/>
                <a:cs typeface="+mn-cs"/>
              </a:defRPr>
            </a:pPr>
            <a:endParaRPr lang="en-US"/>
          </a:p>
        </c:txPr>
        <c:crossAx val="1257666399"/>
        <c:crosses val="autoZero"/>
        <c:crossBetween val="between"/>
      </c:valAx>
      <c:serAx>
        <c:axId val="182437457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57658719"/>
        <c:crosses val="autoZero"/>
      </c:serAx>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2300">
          <a:srgbClr val="99D065"/>
        </a:gs>
        <a:gs pos="1000">
          <a:srgbClr val="FF0000"/>
        </a:gs>
        <a:gs pos="50000">
          <a:srgbClr val="00B0F0"/>
        </a:gs>
        <a:gs pos="100000">
          <a:schemeClr val="accent6">
            <a:lumMod val="50000"/>
          </a:schemeClr>
        </a:gs>
      </a:gsLst>
      <a:lin ang="5400000" scaled="1"/>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9</xdr:col>
      <xdr:colOff>16646</xdr:colOff>
      <xdr:row>0</xdr:row>
      <xdr:rowOff>106463</xdr:rowOff>
    </xdr:from>
    <xdr:ext cx="5605509" cy="937693"/>
    <xdr:sp macro="" textlink="">
      <xdr:nvSpPr>
        <xdr:cNvPr id="2" name="Rectangle 1">
          <a:extLst>
            <a:ext uri="{FF2B5EF4-FFF2-40B4-BE49-F238E27FC236}">
              <a16:creationId xmlns:a16="http://schemas.microsoft.com/office/drawing/2014/main" id="{94FAF2CC-AE69-6FFF-BFFC-42580D852F75}"/>
            </a:ext>
          </a:extLst>
        </xdr:cNvPr>
        <xdr:cNvSpPr/>
      </xdr:nvSpPr>
      <xdr:spPr>
        <a:xfrm>
          <a:off x="5830706" y="106463"/>
          <a:ext cx="5605509" cy="937693"/>
        </a:xfrm>
        <a:prstGeom prst="rect">
          <a:avLst/>
        </a:prstGeom>
        <a:solidFill>
          <a:schemeClr val="accent2">
            <a:lumMod val="20000"/>
            <a:lumOff val="80000"/>
          </a:schemeClr>
        </a:solidFill>
        <a:ln>
          <a:solidFill>
            <a:schemeClr val="tx1"/>
          </a:solidFill>
        </a:ln>
      </xdr:spPr>
      <xdr:txBody>
        <a:bodyPr wrap="none" lIns="91440" tIns="45720" rIns="91440" bIns="45720">
          <a:spAutoFit/>
        </a:bodyPr>
        <a:lstStyle/>
        <a:p>
          <a:pPr algn="ctr"/>
          <a:r>
            <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Hotel</a:t>
          </a:r>
          <a:r>
            <a:rPr lang="en-US" sz="5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Management</a:t>
          </a: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197541</xdr:colOff>
      <xdr:row>0</xdr:row>
      <xdr:rowOff>98843</xdr:rowOff>
    </xdr:from>
    <xdr:ext cx="6371489" cy="937693"/>
    <xdr:sp macro="" textlink="">
      <xdr:nvSpPr>
        <xdr:cNvPr id="2" name="Rectangle 1">
          <a:extLst>
            <a:ext uri="{FF2B5EF4-FFF2-40B4-BE49-F238E27FC236}">
              <a16:creationId xmlns:a16="http://schemas.microsoft.com/office/drawing/2014/main" id="{F7AD4DE2-1981-2ECD-D454-92E3E4CC6041}"/>
            </a:ext>
          </a:extLst>
        </xdr:cNvPr>
        <xdr:cNvSpPr/>
      </xdr:nvSpPr>
      <xdr:spPr>
        <a:xfrm>
          <a:off x="3900861" y="98843"/>
          <a:ext cx="6371489" cy="937693"/>
        </a:xfrm>
        <a:prstGeom prst="rect">
          <a:avLst/>
        </a:prstGeom>
        <a:solidFill>
          <a:schemeClr val="tx2">
            <a:lumMod val="25000"/>
            <a:lumOff val="75000"/>
          </a:schemeClr>
        </a:solidFill>
        <a:ln>
          <a:solidFill>
            <a:schemeClr val="tx1"/>
          </a:solidFill>
        </a:ln>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Room</a:t>
          </a:r>
          <a:r>
            <a:rPr lang="en-US" sz="5400" b="1" cap="none" spc="0" baseline="0">
              <a:ln w="22225">
                <a:solidFill>
                  <a:schemeClr val="accent2"/>
                </a:solidFill>
                <a:prstDash val="solid"/>
              </a:ln>
              <a:solidFill>
                <a:schemeClr val="accent2">
                  <a:lumMod val="40000"/>
                  <a:lumOff val="60000"/>
                </a:schemeClr>
              </a:solidFill>
              <a:effectLst/>
            </a:rPr>
            <a:t> Details in Hotel</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68580</xdr:colOff>
      <xdr:row>17</xdr:row>
      <xdr:rowOff>148590</xdr:rowOff>
    </xdr:from>
    <xdr:to>
      <xdr:col>15</xdr:col>
      <xdr:colOff>0</xdr:colOff>
      <xdr:row>45</xdr:row>
      <xdr:rowOff>22860</xdr:rowOff>
    </xdr:to>
    <xdr:graphicFrame macro="">
      <xdr:nvGraphicFramePr>
        <xdr:cNvPr id="2" name="Chart 1">
          <a:extLst>
            <a:ext uri="{FF2B5EF4-FFF2-40B4-BE49-F238E27FC236}">
              <a16:creationId xmlns:a16="http://schemas.microsoft.com/office/drawing/2014/main" id="{36E6D67B-F88C-4D98-1903-83A45BD3A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160020</xdr:colOff>
      <xdr:row>2</xdr:row>
      <xdr:rowOff>76200</xdr:rowOff>
    </xdr:from>
    <xdr:to>
      <xdr:col>4</xdr:col>
      <xdr:colOff>15240</xdr:colOff>
      <xdr:row>5</xdr:row>
      <xdr:rowOff>152399</xdr:rowOff>
    </xdr:to>
    <mc:AlternateContent xmlns:mc="http://schemas.openxmlformats.org/markup-compatibility/2006" xmlns:sle15="http://schemas.microsoft.com/office/drawing/2012/slicer">
      <mc:Choice Requires="sle15">
        <xdr:graphicFrame macro="">
          <xdr:nvGraphicFramePr>
            <xdr:cNvPr id="3" name="Room Type">
              <a:extLst>
                <a:ext uri="{FF2B5EF4-FFF2-40B4-BE49-F238E27FC236}">
                  <a16:creationId xmlns:a16="http://schemas.microsoft.com/office/drawing/2014/main" id="{BF7F7F96-D41D-DC95-28D5-9E14F2CB1F39}"/>
                </a:ext>
              </a:extLst>
            </xdr:cNvPr>
            <xdr:cNvGraphicFramePr/>
          </xdr:nvGraphicFramePr>
          <xdr:xfrm>
            <a:off x="0" y="0"/>
            <a:ext cx="0" cy="0"/>
          </xdr:xfrm>
          <a:graphic>
            <a:graphicData uri="http://schemas.microsoft.com/office/drawing/2010/slicer">
              <sle:slicer xmlns:sle="http://schemas.microsoft.com/office/drawing/2010/slicer" name="Room Type"/>
            </a:graphicData>
          </a:graphic>
        </xdr:graphicFrame>
      </mc:Choice>
      <mc:Fallback xmlns="">
        <xdr:sp macro="" textlink="">
          <xdr:nvSpPr>
            <xdr:cNvPr id="0" name=""/>
            <xdr:cNvSpPr>
              <a:spLocks noTextEdit="1"/>
            </xdr:cNvSpPr>
          </xdr:nvSpPr>
          <xdr:spPr>
            <a:xfrm>
              <a:off x="2179320" y="441960"/>
              <a:ext cx="1828800" cy="6248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335280</xdr:colOff>
      <xdr:row>11</xdr:row>
      <xdr:rowOff>114301</xdr:rowOff>
    </xdr:from>
    <xdr:to>
      <xdr:col>12</xdr:col>
      <xdr:colOff>335280</xdr:colOff>
      <xdr:row>15</xdr:row>
      <xdr:rowOff>160021</xdr:rowOff>
    </xdr:to>
    <mc:AlternateContent xmlns:mc="http://schemas.openxmlformats.org/markup-compatibility/2006" xmlns:sle15="http://schemas.microsoft.com/office/drawing/2012/slicer">
      <mc:Choice Requires="sle15">
        <xdr:graphicFrame macro="">
          <xdr:nvGraphicFramePr>
            <xdr:cNvPr id="4" name="Bed Type">
              <a:extLst>
                <a:ext uri="{FF2B5EF4-FFF2-40B4-BE49-F238E27FC236}">
                  <a16:creationId xmlns:a16="http://schemas.microsoft.com/office/drawing/2014/main" id="{79EA6D6C-BF9F-2F73-C166-D6BB37D99B14}"/>
                </a:ext>
              </a:extLst>
            </xdr:cNvPr>
            <xdr:cNvGraphicFramePr/>
          </xdr:nvGraphicFramePr>
          <xdr:xfrm>
            <a:off x="0" y="0"/>
            <a:ext cx="0" cy="0"/>
          </xdr:xfrm>
          <a:graphic>
            <a:graphicData uri="http://schemas.microsoft.com/office/drawing/2010/slicer">
              <sle:slicer xmlns:sle="http://schemas.microsoft.com/office/drawing/2010/slicer" name="Bed Type"/>
            </a:graphicData>
          </a:graphic>
        </xdr:graphicFrame>
      </mc:Choice>
      <mc:Fallback xmlns="">
        <xdr:sp macro="" textlink="">
          <xdr:nvSpPr>
            <xdr:cNvPr id="0" name=""/>
            <xdr:cNvSpPr>
              <a:spLocks noTextEdit="1"/>
            </xdr:cNvSpPr>
          </xdr:nvSpPr>
          <xdr:spPr>
            <a:xfrm>
              <a:off x="7376160" y="2125981"/>
              <a:ext cx="1828800" cy="7772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464820</xdr:colOff>
      <xdr:row>5</xdr:row>
      <xdr:rowOff>106681</xdr:rowOff>
    </xdr:from>
    <xdr:to>
      <xdr:col>13</xdr:col>
      <xdr:colOff>464820</xdr:colOff>
      <xdr:row>10</xdr:row>
      <xdr:rowOff>167641</xdr:rowOff>
    </xdr:to>
    <mc:AlternateContent xmlns:mc="http://schemas.openxmlformats.org/markup-compatibility/2006" xmlns:sle15="http://schemas.microsoft.com/office/drawing/2012/slicer">
      <mc:Choice Requires="sle15">
        <xdr:graphicFrame macro="">
          <xdr:nvGraphicFramePr>
            <xdr:cNvPr id="5" name="Price per day">
              <a:extLst>
                <a:ext uri="{FF2B5EF4-FFF2-40B4-BE49-F238E27FC236}">
                  <a16:creationId xmlns:a16="http://schemas.microsoft.com/office/drawing/2014/main" id="{B3E0C33F-57B4-F557-A536-FE548CB19AEB}"/>
                </a:ext>
              </a:extLst>
            </xdr:cNvPr>
            <xdr:cNvGraphicFramePr/>
          </xdr:nvGraphicFramePr>
          <xdr:xfrm>
            <a:off x="0" y="0"/>
            <a:ext cx="0" cy="0"/>
          </xdr:xfrm>
          <a:graphic>
            <a:graphicData uri="http://schemas.microsoft.com/office/drawing/2010/slicer">
              <sle:slicer xmlns:sle="http://schemas.microsoft.com/office/drawing/2010/slicer" name="Price per day"/>
            </a:graphicData>
          </a:graphic>
        </xdr:graphicFrame>
      </mc:Choice>
      <mc:Fallback xmlns="">
        <xdr:sp macro="" textlink="">
          <xdr:nvSpPr>
            <xdr:cNvPr id="0" name=""/>
            <xdr:cNvSpPr>
              <a:spLocks noTextEdit="1"/>
            </xdr:cNvSpPr>
          </xdr:nvSpPr>
          <xdr:spPr>
            <a:xfrm>
              <a:off x="8115300" y="102108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137160</xdr:colOff>
      <xdr:row>9</xdr:row>
      <xdr:rowOff>15241</xdr:rowOff>
    </xdr:from>
    <xdr:to>
      <xdr:col>9</xdr:col>
      <xdr:colOff>220980</xdr:colOff>
      <xdr:row>14</xdr:row>
      <xdr:rowOff>114301</xdr:rowOff>
    </xdr:to>
    <mc:AlternateContent xmlns:mc="http://schemas.openxmlformats.org/markup-compatibility/2006" xmlns:sle15="http://schemas.microsoft.com/office/drawing/2012/slicer">
      <mc:Choice Requires="sle15">
        <xdr:graphicFrame macro="">
          <xdr:nvGraphicFramePr>
            <xdr:cNvPr id="6" name="Check-in-Date">
              <a:extLst>
                <a:ext uri="{FF2B5EF4-FFF2-40B4-BE49-F238E27FC236}">
                  <a16:creationId xmlns:a16="http://schemas.microsoft.com/office/drawing/2014/main" id="{FB37F79E-E6EA-005F-BFB8-D56C80543D8E}"/>
                </a:ext>
              </a:extLst>
            </xdr:cNvPr>
            <xdr:cNvGraphicFramePr/>
          </xdr:nvGraphicFramePr>
          <xdr:xfrm>
            <a:off x="0" y="0"/>
            <a:ext cx="0" cy="0"/>
          </xdr:xfrm>
          <a:graphic>
            <a:graphicData uri="http://schemas.microsoft.com/office/drawing/2010/slicer">
              <sle:slicer xmlns:sle="http://schemas.microsoft.com/office/drawing/2010/slicer" name="Check-in-Date"/>
            </a:graphicData>
          </a:graphic>
        </xdr:graphicFrame>
      </mc:Choice>
      <mc:Fallback xmlns="">
        <xdr:sp macro="" textlink="">
          <xdr:nvSpPr>
            <xdr:cNvPr id="0" name=""/>
            <xdr:cNvSpPr>
              <a:spLocks noTextEdit="1"/>
            </xdr:cNvSpPr>
          </xdr:nvSpPr>
          <xdr:spPr>
            <a:xfrm>
              <a:off x="4739640" y="1661161"/>
              <a:ext cx="2522220" cy="10134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76200</xdr:colOff>
      <xdr:row>7</xdr:row>
      <xdr:rowOff>60961</xdr:rowOff>
    </xdr:from>
    <xdr:to>
      <xdr:col>5</xdr:col>
      <xdr:colOff>68580</xdr:colOff>
      <xdr:row>13</xdr:row>
      <xdr:rowOff>7621</xdr:rowOff>
    </xdr:to>
    <mc:AlternateContent xmlns:mc="http://schemas.openxmlformats.org/markup-compatibility/2006" xmlns:sle15="http://schemas.microsoft.com/office/drawing/2012/slicer">
      <mc:Choice Requires="sle15">
        <xdr:graphicFrame macro="">
          <xdr:nvGraphicFramePr>
            <xdr:cNvPr id="7" name="Check-out-date">
              <a:extLst>
                <a:ext uri="{FF2B5EF4-FFF2-40B4-BE49-F238E27FC236}">
                  <a16:creationId xmlns:a16="http://schemas.microsoft.com/office/drawing/2014/main" id="{184AD18A-3AF8-44FD-BDE2-DC5753BAB598}"/>
                </a:ext>
              </a:extLst>
            </xdr:cNvPr>
            <xdr:cNvGraphicFramePr/>
          </xdr:nvGraphicFramePr>
          <xdr:xfrm>
            <a:off x="0" y="0"/>
            <a:ext cx="0" cy="0"/>
          </xdr:xfrm>
          <a:graphic>
            <a:graphicData uri="http://schemas.microsoft.com/office/drawing/2010/slicer">
              <sle:slicer xmlns:sle="http://schemas.microsoft.com/office/drawing/2010/slicer" name="Check-out-date"/>
            </a:graphicData>
          </a:graphic>
        </xdr:graphicFrame>
      </mc:Choice>
      <mc:Fallback xmlns="">
        <xdr:sp macro="" textlink="">
          <xdr:nvSpPr>
            <xdr:cNvPr id="0" name=""/>
            <xdr:cNvSpPr>
              <a:spLocks noTextEdit="1"/>
            </xdr:cNvSpPr>
          </xdr:nvSpPr>
          <xdr:spPr>
            <a:xfrm>
              <a:off x="2095500" y="1341121"/>
              <a:ext cx="2575560" cy="10439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121920</xdr:colOff>
      <xdr:row>3</xdr:row>
      <xdr:rowOff>22860</xdr:rowOff>
    </xdr:from>
    <xdr:to>
      <xdr:col>7</xdr:col>
      <xdr:colOff>121920</xdr:colOff>
      <xdr:row>6</xdr:row>
      <xdr:rowOff>175261</xdr:rowOff>
    </xdr:to>
    <mc:AlternateContent xmlns:mc="http://schemas.openxmlformats.org/markup-compatibility/2006" xmlns:sle15="http://schemas.microsoft.com/office/drawing/2012/slicer">
      <mc:Choice Requires="sle15">
        <xdr:graphicFrame macro="">
          <xdr:nvGraphicFramePr>
            <xdr:cNvPr id="8" name="No.of Days">
              <a:extLst>
                <a:ext uri="{FF2B5EF4-FFF2-40B4-BE49-F238E27FC236}">
                  <a16:creationId xmlns:a16="http://schemas.microsoft.com/office/drawing/2014/main" id="{BDF62D75-DD1D-89AD-F3A8-D6EDEC0CA4FB}"/>
                </a:ext>
              </a:extLst>
            </xdr:cNvPr>
            <xdr:cNvGraphicFramePr/>
          </xdr:nvGraphicFramePr>
          <xdr:xfrm>
            <a:off x="0" y="0"/>
            <a:ext cx="0" cy="0"/>
          </xdr:xfrm>
          <a:graphic>
            <a:graphicData uri="http://schemas.microsoft.com/office/drawing/2010/slicer">
              <sle:slicer xmlns:sle="http://schemas.microsoft.com/office/drawing/2010/slicer" name="No.of Days"/>
            </a:graphicData>
          </a:graphic>
        </xdr:graphicFrame>
      </mc:Choice>
      <mc:Fallback xmlns="">
        <xdr:sp macro="" textlink="">
          <xdr:nvSpPr>
            <xdr:cNvPr id="0" name=""/>
            <xdr:cNvSpPr>
              <a:spLocks noTextEdit="1"/>
            </xdr:cNvSpPr>
          </xdr:nvSpPr>
          <xdr:spPr>
            <a:xfrm>
              <a:off x="4114800" y="571500"/>
              <a:ext cx="1828800" cy="70104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259080</xdr:colOff>
      <xdr:row>4</xdr:row>
      <xdr:rowOff>152400</xdr:rowOff>
    </xdr:from>
    <xdr:to>
      <xdr:col>10</xdr:col>
      <xdr:colOff>259080</xdr:colOff>
      <xdr:row>8</xdr:row>
      <xdr:rowOff>114300</xdr:rowOff>
    </xdr:to>
    <mc:AlternateContent xmlns:mc="http://schemas.openxmlformats.org/markup-compatibility/2006" xmlns:sle15="http://schemas.microsoft.com/office/drawing/2012/slicer">
      <mc:Choice Requires="sle15">
        <xdr:graphicFrame macro="">
          <xdr:nvGraphicFramePr>
            <xdr:cNvPr id="9" name="AC/Non AC">
              <a:extLst>
                <a:ext uri="{FF2B5EF4-FFF2-40B4-BE49-F238E27FC236}">
                  <a16:creationId xmlns:a16="http://schemas.microsoft.com/office/drawing/2014/main" id="{C62BEC7A-F818-E4B9-A47F-D35A9B83CFC3}"/>
                </a:ext>
              </a:extLst>
            </xdr:cNvPr>
            <xdr:cNvGraphicFramePr/>
          </xdr:nvGraphicFramePr>
          <xdr:xfrm>
            <a:off x="0" y="0"/>
            <a:ext cx="0" cy="0"/>
          </xdr:xfrm>
          <a:graphic>
            <a:graphicData uri="http://schemas.microsoft.com/office/drawing/2010/slicer">
              <sle:slicer xmlns:sle="http://schemas.microsoft.com/office/drawing/2010/slicer" name="AC/Non AC"/>
            </a:graphicData>
          </a:graphic>
        </xdr:graphicFrame>
      </mc:Choice>
      <mc:Fallback xmlns="">
        <xdr:sp macro="" textlink="">
          <xdr:nvSpPr>
            <xdr:cNvPr id="0" name=""/>
            <xdr:cNvSpPr>
              <a:spLocks noTextEdit="1"/>
            </xdr:cNvSpPr>
          </xdr:nvSpPr>
          <xdr:spPr>
            <a:xfrm>
              <a:off x="6080760" y="883920"/>
              <a:ext cx="1828800" cy="6934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8</xdr:col>
      <xdr:colOff>0</xdr:colOff>
      <xdr:row>0</xdr:row>
      <xdr:rowOff>129323</xdr:rowOff>
    </xdr:from>
    <xdr:ext cx="6253892" cy="937693"/>
    <xdr:sp macro="" textlink="">
      <xdr:nvSpPr>
        <xdr:cNvPr id="2" name="Rectangle 1">
          <a:extLst>
            <a:ext uri="{FF2B5EF4-FFF2-40B4-BE49-F238E27FC236}">
              <a16:creationId xmlns:a16="http://schemas.microsoft.com/office/drawing/2014/main" id="{4D86BBAD-0878-263E-A4F8-AA91312FF88D}"/>
            </a:ext>
          </a:extLst>
        </xdr:cNvPr>
        <xdr:cNvSpPr/>
      </xdr:nvSpPr>
      <xdr:spPr>
        <a:xfrm>
          <a:off x="3959659" y="129323"/>
          <a:ext cx="6253892" cy="937693"/>
        </a:xfrm>
        <a:prstGeom prst="rect">
          <a:avLst/>
        </a:prstGeom>
        <a:solidFill>
          <a:schemeClr val="accent1">
            <a:lumMod val="20000"/>
            <a:lumOff val="80000"/>
          </a:schemeClr>
        </a:solidFill>
        <a:ln>
          <a:solidFill>
            <a:schemeClr val="accent2">
              <a:lumMod val="75000"/>
            </a:schemeClr>
          </a:solidFill>
        </a:ln>
      </xdr:spPr>
      <xdr:txBody>
        <a:bodyPr wrap="none" lIns="91440" tIns="45720" rIns="91440" bIns="45720">
          <a:spAutoFit/>
        </a:bodyPr>
        <a:lstStyle/>
        <a:p>
          <a:pPr algn="ctr"/>
          <a:r>
            <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rPr>
            <a:t>Food</a:t>
          </a:r>
          <a:r>
            <a:rPr lang="en-US" sz="5400" b="1" cap="none" spc="50" baseline="0">
              <a:ln w="9525" cmpd="sng">
                <a:solidFill>
                  <a:schemeClr val="accent1"/>
                </a:solidFill>
                <a:prstDash val="solid"/>
              </a:ln>
              <a:solidFill>
                <a:srgbClr val="70AD47">
                  <a:tint val="1000"/>
                </a:srgbClr>
              </a:solidFill>
              <a:effectLst>
                <a:glow rad="38100">
                  <a:schemeClr val="accent1">
                    <a:alpha val="40000"/>
                  </a:schemeClr>
                </a:glow>
              </a:effectLst>
            </a:rPr>
            <a:t> Details in Hotel</a:t>
          </a:r>
          <a:endPar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3</xdr:col>
      <xdr:colOff>579120</xdr:colOff>
      <xdr:row>8</xdr:row>
      <xdr:rowOff>148590</xdr:rowOff>
    </xdr:from>
    <xdr:to>
      <xdr:col>18</xdr:col>
      <xdr:colOff>0</xdr:colOff>
      <xdr:row>37</xdr:row>
      <xdr:rowOff>22860</xdr:rowOff>
    </xdr:to>
    <xdr:graphicFrame macro="">
      <xdr:nvGraphicFramePr>
        <xdr:cNvPr id="2" name="Chart 1">
          <a:extLst>
            <a:ext uri="{FF2B5EF4-FFF2-40B4-BE49-F238E27FC236}">
              <a16:creationId xmlns:a16="http://schemas.microsoft.com/office/drawing/2014/main" id="{8EEAB15E-7731-74FB-CA2B-2CEF40167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342900</xdr:colOff>
      <xdr:row>2</xdr:row>
      <xdr:rowOff>7620</xdr:rowOff>
    </xdr:from>
    <xdr:to>
      <xdr:col>12</xdr:col>
      <xdr:colOff>342900</xdr:colOff>
      <xdr:row>7</xdr:row>
      <xdr:rowOff>53339</xdr:rowOff>
    </xdr:to>
    <mc:AlternateContent xmlns:mc="http://schemas.openxmlformats.org/markup-compatibility/2006" xmlns:sle15="http://schemas.microsoft.com/office/drawing/2012/slicer">
      <mc:Choice Requires="sle15">
        <xdr:graphicFrame macro="">
          <xdr:nvGraphicFramePr>
            <xdr:cNvPr id="3" name="Food ID">
              <a:extLst>
                <a:ext uri="{FF2B5EF4-FFF2-40B4-BE49-F238E27FC236}">
                  <a16:creationId xmlns:a16="http://schemas.microsoft.com/office/drawing/2014/main" id="{2D72AA48-0A90-EC27-3679-F0955CF17BA0}"/>
                </a:ext>
              </a:extLst>
            </xdr:cNvPr>
            <xdr:cNvGraphicFramePr/>
          </xdr:nvGraphicFramePr>
          <xdr:xfrm>
            <a:off x="0" y="0"/>
            <a:ext cx="0" cy="0"/>
          </xdr:xfrm>
          <a:graphic>
            <a:graphicData uri="http://schemas.microsoft.com/office/drawing/2010/slicer">
              <sle:slicer xmlns:sle="http://schemas.microsoft.com/office/drawing/2010/slicer" name="Food ID"/>
            </a:graphicData>
          </a:graphic>
        </xdr:graphicFrame>
      </mc:Choice>
      <mc:Fallback xmlns="">
        <xdr:sp macro="" textlink="">
          <xdr:nvSpPr>
            <xdr:cNvPr id="0" name=""/>
            <xdr:cNvSpPr>
              <a:spLocks noTextEdit="1"/>
            </xdr:cNvSpPr>
          </xdr:nvSpPr>
          <xdr:spPr>
            <a:xfrm>
              <a:off x="7597140" y="373380"/>
              <a:ext cx="1828800" cy="9601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594360</xdr:colOff>
      <xdr:row>3</xdr:row>
      <xdr:rowOff>144781</xdr:rowOff>
    </xdr:from>
    <xdr:to>
      <xdr:col>18</xdr:col>
      <xdr:colOff>594360</xdr:colOff>
      <xdr:row>7</xdr:row>
      <xdr:rowOff>129541</xdr:rowOff>
    </xdr:to>
    <mc:AlternateContent xmlns:mc="http://schemas.openxmlformats.org/markup-compatibility/2006" xmlns:sle15="http://schemas.microsoft.com/office/drawing/2012/slicer">
      <mc:Choice Requires="sle15">
        <xdr:graphicFrame macro="">
          <xdr:nvGraphicFramePr>
            <xdr:cNvPr id="4" name="Food Type">
              <a:extLst>
                <a:ext uri="{FF2B5EF4-FFF2-40B4-BE49-F238E27FC236}">
                  <a16:creationId xmlns:a16="http://schemas.microsoft.com/office/drawing/2014/main" id="{5D0B378C-E55A-B220-94C8-AB05422C0453}"/>
                </a:ext>
              </a:extLst>
            </xdr:cNvPr>
            <xdr:cNvGraphicFramePr/>
          </xdr:nvGraphicFramePr>
          <xdr:xfrm>
            <a:off x="0" y="0"/>
            <a:ext cx="0" cy="0"/>
          </xdr:xfrm>
          <a:graphic>
            <a:graphicData uri="http://schemas.microsoft.com/office/drawing/2010/slicer">
              <sle:slicer xmlns:sle="http://schemas.microsoft.com/office/drawing/2010/slicer" name="Food Type"/>
            </a:graphicData>
          </a:graphic>
        </xdr:graphicFrame>
      </mc:Choice>
      <mc:Fallback xmlns="">
        <xdr:sp macro="" textlink="">
          <xdr:nvSpPr>
            <xdr:cNvPr id="0" name=""/>
            <xdr:cNvSpPr>
              <a:spLocks noTextEdit="1"/>
            </xdr:cNvSpPr>
          </xdr:nvSpPr>
          <xdr:spPr>
            <a:xfrm>
              <a:off x="11506200" y="693421"/>
              <a:ext cx="1828800" cy="7162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480060</xdr:colOff>
      <xdr:row>2</xdr:row>
      <xdr:rowOff>30481</xdr:rowOff>
    </xdr:from>
    <xdr:to>
      <xdr:col>15</xdr:col>
      <xdr:colOff>480060</xdr:colOff>
      <xdr:row>5</xdr:row>
      <xdr:rowOff>144781</xdr:rowOff>
    </xdr:to>
    <mc:AlternateContent xmlns:mc="http://schemas.openxmlformats.org/markup-compatibility/2006" xmlns:sle15="http://schemas.microsoft.com/office/drawing/2012/slicer">
      <mc:Choice Requires="sle15">
        <xdr:graphicFrame macro="">
          <xdr:nvGraphicFramePr>
            <xdr:cNvPr id="6" name="Order Type">
              <a:extLst>
                <a:ext uri="{FF2B5EF4-FFF2-40B4-BE49-F238E27FC236}">
                  <a16:creationId xmlns:a16="http://schemas.microsoft.com/office/drawing/2014/main" id="{B92BB07E-FAD2-A305-993D-D0AAFE6A9065}"/>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9563100" y="396241"/>
              <a:ext cx="1828800" cy="6629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289560</xdr:colOff>
      <xdr:row>2</xdr:row>
      <xdr:rowOff>0</xdr:rowOff>
    </xdr:from>
    <xdr:to>
      <xdr:col>9</xdr:col>
      <xdr:colOff>289560</xdr:colOff>
      <xdr:row>7</xdr:row>
      <xdr:rowOff>30481</xdr:rowOff>
    </xdr:to>
    <mc:AlternateContent xmlns:mc="http://schemas.openxmlformats.org/markup-compatibility/2006" xmlns:sle15="http://schemas.microsoft.com/office/drawing/2012/slicer">
      <mc:Choice Requires="sle15">
        <xdr:graphicFrame macro="">
          <xdr:nvGraphicFramePr>
            <xdr:cNvPr id="7" name="Quantity">
              <a:extLst>
                <a:ext uri="{FF2B5EF4-FFF2-40B4-BE49-F238E27FC236}">
                  <a16:creationId xmlns:a16="http://schemas.microsoft.com/office/drawing/2014/main" id="{71EFAB51-DD2F-2849-D1CE-3FABA15BC8E1}"/>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5715000" y="365760"/>
              <a:ext cx="1828800" cy="94488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167640</xdr:colOff>
      <xdr:row>1</xdr:row>
      <xdr:rowOff>175261</xdr:rowOff>
    </xdr:from>
    <xdr:to>
      <xdr:col>6</xdr:col>
      <xdr:colOff>167640</xdr:colOff>
      <xdr:row>7</xdr:row>
      <xdr:rowOff>45721</xdr:rowOff>
    </xdr:to>
    <mc:AlternateContent xmlns:mc="http://schemas.openxmlformats.org/markup-compatibility/2006" xmlns:sle15="http://schemas.microsoft.com/office/drawing/2012/slicer">
      <mc:Choice Requires="sle15">
        <xdr:graphicFrame macro="">
          <xdr:nvGraphicFramePr>
            <xdr:cNvPr id="8" name="Total Amount">
              <a:extLst>
                <a:ext uri="{FF2B5EF4-FFF2-40B4-BE49-F238E27FC236}">
                  <a16:creationId xmlns:a16="http://schemas.microsoft.com/office/drawing/2014/main" id="{EDB36BF2-085F-B942-C130-C79069F1C149}"/>
                </a:ext>
              </a:extLst>
            </xdr:cNvPr>
            <xdr:cNvGraphicFramePr/>
          </xdr:nvGraphicFramePr>
          <xdr:xfrm>
            <a:off x="0" y="0"/>
            <a:ext cx="0" cy="0"/>
          </xdr:xfrm>
          <a:graphic>
            <a:graphicData uri="http://schemas.microsoft.com/office/drawing/2010/slicer">
              <sle:slicer xmlns:sle="http://schemas.microsoft.com/office/drawing/2010/slicer" name="Total Amount"/>
            </a:graphicData>
          </a:graphic>
        </xdr:graphicFrame>
      </mc:Choice>
      <mc:Fallback xmlns="">
        <xdr:sp macro="" textlink="">
          <xdr:nvSpPr>
            <xdr:cNvPr id="0" name=""/>
            <xdr:cNvSpPr>
              <a:spLocks noTextEdit="1"/>
            </xdr:cNvSpPr>
          </xdr:nvSpPr>
          <xdr:spPr>
            <a:xfrm>
              <a:off x="3764280" y="35814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5</xdr:row>
      <xdr:rowOff>179070</xdr:rowOff>
    </xdr:from>
    <xdr:to>
      <xdr:col>18</xdr:col>
      <xdr:colOff>22860</xdr:colOff>
      <xdr:row>32</xdr:row>
      <xdr:rowOff>22860</xdr:rowOff>
    </xdr:to>
    <xdr:graphicFrame macro="">
      <xdr:nvGraphicFramePr>
        <xdr:cNvPr id="2" name="Chart 1">
          <a:extLst>
            <a:ext uri="{FF2B5EF4-FFF2-40B4-BE49-F238E27FC236}">
              <a16:creationId xmlns:a16="http://schemas.microsoft.com/office/drawing/2014/main" id="{BAAAD952-3E49-E3F4-BD5D-50AA13FD2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304800</xdr:colOff>
      <xdr:row>18</xdr:row>
      <xdr:rowOff>0</xdr:rowOff>
    </xdr:to>
    <xdr:graphicFrame macro="">
      <xdr:nvGraphicFramePr>
        <xdr:cNvPr id="2" name="Chart 1">
          <a:extLst>
            <a:ext uri="{FF2B5EF4-FFF2-40B4-BE49-F238E27FC236}">
              <a16:creationId xmlns:a16="http://schemas.microsoft.com/office/drawing/2014/main" id="{429AD73F-3099-4D94-BE7D-795DF19AA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15</xdr:col>
      <xdr:colOff>304800</xdr:colOff>
      <xdr:row>18</xdr:row>
      <xdr:rowOff>0</xdr:rowOff>
    </xdr:to>
    <xdr:graphicFrame macro="">
      <xdr:nvGraphicFramePr>
        <xdr:cNvPr id="3" name="Chart 2">
          <a:extLst>
            <a:ext uri="{FF2B5EF4-FFF2-40B4-BE49-F238E27FC236}">
              <a16:creationId xmlns:a16="http://schemas.microsoft.com/office/drawing/2014/main" id="{3EC34F88-224A-4782-B7AB-C4E45C9B7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xdr:row>
      <xdr:rowOff>0</xdr:rowOff>
    </xdr:from>
    <xdr:to>
      <xdr:col>23</xdr:col>
      <xdr:colOff>304800</xdr:colOff>
      <xdr:row>18</xdr:row>
      <xdr:rowOff>0</xdr:rowOff>
    </xdr:to>
    <xdr:graphicFrame macro="">
      <xdr:nvGraphicFramePr>
        <xdr:cNvPr id="4" name="Chart 3">
          <a:extLst>
            <a:ext uri="{FF2B5EF4-FFF2-40B4-BE49-F238E27FC236}">
              <a16:creationId xmlns:a16="http://schemas.microsoft.com/office/drawing/2014/main" id="{60E69EB9-FCC2-4483-A4B3-50E0429AF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0</xdr:rowOff>
    </xdr:from>
    <xdr:to>
      <xdr:col>7</xdr:col>
      <xdr:colOff>304800</xdr:colOff>
      <xdr:row>35</xdr:row>
      <xdr:rowOff>0</xdr:rowOff>
    </xdr:to>
    <xdr:graphicFrame macro="">
      <xdr:nvGraphicFramePr>
        <xdr:cNvPr id="5" name="Chart 4">
          <a:extLst>
            <a:ext uri="{FF2B5EF4-FFF2-40B4-BE49-F238E27FC236}">
              <a16:creationId xmlns:a16="http://schemas.microsoft.com/office/drawing/2014/main" id="{B9675206-1013-4F13-89B7-03EE1EED6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20</xdr:row>
      <xdr:rowOff>0</xdr:rowOff>
    </xdr:from>
    <xdr:to>
      <xdr:col>15</xdr:col>
      <xdr:colOff>304800</xdr:colOff>
      <xdr:row>35</xdr:row>
      <xdr:rowOff>0</xdr:rowOff>
    </xdr:to>
    <xdr:graphicFrame macro="">
      <xdr:nvGraphicFramePr>
        <xdr:cNvPr id="6" name="Chart 5">
          <a:extLst>
            <a:ext uri="{FF2B5EF4-FFF2-40B4-BE49-F238E27FC236}">
              <a16:creationId xmlns:a16="http://schemas.microsoft.com/office/drawing/2014/main" id="{B89890A3-6FA8-426C-B845-782210B36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20</xdr:row>
      <xdr:rowOff>0</xdr:rowOff>
    </xdr:from>
    <xdr:to>
      <xdr:col>23</xdr:col>
      <xdr:colOff>304800</xdr:colOff>
      <xdr:row>35</xdr:row>
      <xdr:rowOff>0</xdr:rowOff>
    </xdr:to>
    <xdr:graphicFrame macro="">
      <xdr:nvGraphicFramePr>
        <xdr:cNvPr id="7" name="Chart 6">
          <a:extLst>
            <a:ext uri="{FF2B5EF4-FFF2-40B4-BE49-F238E27FC236}">
              <a16:creationId xmlns:a16="http://schemas.microsoft.com/office/drawing/2014/main" id="{96E3363E-2AF7-406B-A3E7-CF55E585F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37</xdr:row>
      <xdr:rowOff>0</xdr:rowOff>
    </xdr:from>
    <xdr:to>
      <xdr:col>7</xdr:col>
      <xdr:colOff>304800</xdr:colOff>
      <xdr:row>52</xdr:row>
      <xdr:rowOff>0</xdr:rowOff>
    </xdr:to>
    <xdr:graphicFrame macro="">
      <xdr:nvGraphicFramePr>
        <xdr:cNvPr id="8" name="Chart 7">
          <a:extLst>
            <a:ext uri="{FF2B5EF4-FFF2-40B4-BE49-F238E27FC236}">
              <a16:creationId xmlns:a16="http://schemas.microsoft.com/office/drawing/2014/main" id="{B3CE654A-0BC2-43A3-9024-B6051BA72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37</xdr:row>
      <xdr:rowOff>0</xdr:rowOff>
    </xdr:from>
    <xdr:to>
      <xdr:col>15</xdr:col>
      <xdr:colOff>304800</xdr:colOff>
      <xdr:row>52</xdr:row>
      <xdr:rowOff>0</xdr:rowOff>
    </xdr:to>
    <xdr:graphicFrame macro="">
      <xdr:nvGraphicFramePr>
        <xdr:cNvPr id="9" name="Chart 8">
          <a:extLst>
            <a:ext uri="{FF2B5EF4-FFF2-40B4-BE49-F238E27FC236}">
              <a16:creationId xmlns:a16="http://schemas.microsoft.com/office/drawing/2014/main" id="{6EA54EB7-E355-4FAB-9F67-9DE6DD4DC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8</xdr:col>
      <xdr:colOff>358075</xdr:colOff>
      <xdr:row>0</xdr:row>
      <xdr:rowOff>15023</xdr:rowOff>
    </xdr:from>
    <xdr:ext cx="3703451" cy="937693"/>
    <xdr:sp macro="" textlink="">
      <xdr:nvSpPr>
        <xdr:cNvPr id="10" name="Rectangle 9">
          <a:extLst>
            <a:ext uri="{FF2B5EF4-FFF2-40B4-BE49-F238E27FC236}">
              <a16:creationId xmlns:a16="http://schemas.microsoft.com/office/drawing/2014/main" id="{A69F006E-D68B-5DF4-E45E-44D2F2908E8A}"/>
            </a:ext>
          </a:extLst>
        </xdr:cNvPr>
        <xdr:cNvSpPr/>
      </xdr:nvSpPr>
      <xdr:spPr>
        <a:xfrm>
          <a:off x="5234875" y="15023"/>
          <a:ext cx="3703451" cy="937693"/>
        </a:xfrm>
        <a:prstGeom prst="rect">
          <a:avLst/>
        </a:prstGeom>
        <a:gradFill>
          <a:gsLst>
            <a:gs pos="92300">
              <a:srgbClr val="99D065"/>
            </a:gs>
            <a:gs pos="65016">
              <a:srgbClr val="36BBBF"/>
            </a:gs>
            <a:gs pos="36378">
              <a:schemeClr val="accent2">
                <a:lumMod val="40000"/>
                <a:lumOff val="60000"/>
              </a:schemeClr>
            </a:gs>
            <a:gs pos="1000">
              <a:schemeClr val="accent5">
                <a:lumMod val="40000"/>
                <a:lumOff val="60000"/>
              </a:schemeClr>
            </a:gs>
            <a:gs pos="50000">
              <a:srgbClr val="00B0F0"/>
            </a:gs>
            <a:gs pos="100000">
              <a:schemeClr val="accent6">
                <a:lumMod val="50000"/>
              </a:schemeClr>
            </a:gs>
          </a:gsLst>
          <a:lin ang="5400000" scaled="1"/>
        </a:grad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Visualization</a:t>
          </a:r>
          <a:endParaRPr lang="en-US"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Sree" refreshedDate="46082.34738958333" createdVersion="8" refreshedVersion="8" minRefreshableVersion="3" recordCount="50" xr:uid="{6CE13EF5-38E2-4135-A664-83B3AD4B07D2}">
  <cacheSource type="worksheet">
    <worksheetSource ref="D3:L53" sheet="Room Details"/>
  </cacheSource>
  <cacheFields count="13">
    <cacheField name="Room Type" numFmtId="0">
      <sharedItems count="4">
        <s v="Single"/>
        <s v="Double"/>
        <s v="Deluxe"/>
        <s v="Suite"/>
      </sharedItems>
    </cacheField>
    <cacheField name="Floor" numFmtId="0">
      <sharedItems containsSemiMixedTypes="0" containsString="0" containsNumber="1" containsInteger="1" minValue="1" maxValue="4"/>
    </cacheField>
    <cacheField name="Bed Type" numFmtId="0">
      <sharedItems count="4">
        <s v="Single Bed"/>
        <s v="Double Bed"/>
        <s v="Queen Bed"/>
        <s v="King Bed"/>
      </sharedItems>
    </cacheField>
    <cacheField name="Price per day" numFmtId="0">
      <sharedItems count="4">
        <s v="2000"/>
        <s v="4000"/>
        <s v="5000"/>
        <s v="6000"/>
      </sharedItems>
    </cacheField>
    <cacheField name="Check-in-Date" numFmtId="14">
      <sharedItems containsSemiMixedTypes="0" containsNonDate="0" containsDate="1" containsString="0" minDate="2025-02-11T00:00:00" maxDate="2025-12-13T00:00:00" count="10">
        <d v="2025-03-12T00:00:00"/>
        <d v="2025-02-11T00:00:00"/>
        <d v="2025-08-13T00:00:00"/>
        <d v="2025-03-11T00:00:00"/>
        <d v="2025-12-12T00:00:00"/>
        <d v="2025-04-01T00:00:00"/>
        <d v="2025-05-11T00:00:00"/>
        <d v="2025-09-11T00:00:00"/>
        <d v="2025-08-04T00:00:00"/>
        <d v="2025-06-08T00:00:00"/>
      </sharedItems>
      <fieldGroup par="10"/>
    </cacheField>
    <cacheField name="Check-out-date" numFmtId="14">
      <sharedItems containsSemiMixedTypes="0" containsNonDate="0" containsDate="1" containsString="0" minDate="2025-02-11T00:00:00" maxDate="2025-12-15T00:00:00" count="10">
        <d v="2025-03-14T00:00:00"/>
        <d v="2025-02-11T00:00:00"/>
        <d v="2025-08-14T00:00:00"/>
        <d v="2025-03-13T00:00:00"/>
        <d v="2025-12-14T00:00:00"/>
        <d v="2025-04-01T00:00:00"/>
        <d v="2025-05-12T00:00:00"/>
        <d v="2025-09-11T00:00:00"/>
        <d v="2025-08-05T00:00:00"/>
        <d v="2025-06-09T00:00:00"/>
      </sharedItems>
      <fieldGroup par="12"/>
    </cacheField>
    <cacheField name="No.of Days" numFmtId="0">
      <sharedItems containsSemiMixedTypes="0" containsString="0" containsNumber="1" containsInteger="1" minValue="0" maxValue="2"/>
    </cacheField>
    <cacheField name="Max occupancy" numFmtId="0">
      <sharedItems containsSemiMixedTypes="0" containsString="0" containsNumber="1" containsInteger="1" minValue="1" maxValue="5"/>
    </cacheField>
    <cacheField name="AC/Non AC" numFmtId="0">
      <sharedItems count="2">
        <s v="AC"/>
        <s v="Non-AC"/>
      </sharedItems>
    </cacheField>
    <cacheField name="Days (Check-in-Date)" numFmtId="0" databaseField="0">
      <fieldGroup base="4">
        <rangePr groupBy="days" startDate="2025-02-11T00:00:00" endDate="2025-12-13T00:00:00"/>
        <groupItems count="368">
          <s v="&lt;11-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12-2025"/>
        </groupItems>
      </fieldGroup>
    </cacheField>
    <cacheField name="Months (Check-in-Date)" numFmtId="0" databaseField="0">
      <fieldGroup base="4">
        <rangePr groupBy="months" startDate="2025-02-11T00:00:00" endDate="2025-12-13T00:00:00"/>
        <groupItems count="14">
          <s v="&lt;11-02-2025"/>
          <s v="Jan"/>
          <s v="Feb"/>
          <s v="Mar"/>
          <s v="Apr"/>
          <s v="May"/>
          <s v="Jun"/>
          <s v="Jul"/>
          <s v="Aug"/>
          <s v="Sep"/>
          <s v="Oct"/>
          <s v="Nov"/>
          <s v="Dec"/>
          <s v="&gt;13-12-2025"/>
        </groupItems>
      </fieldGroup>
    </cacheField>
    <cacheField name="Days (Check-out-date)" numFmtId="0" databaseField="0">
      <fieldGroup base="5">
        <rangePr groupBy="days" startDate="2025-02-11T00:00:00" endDate="2025-12-15T00:00:00"/>
        <groupItems count="368">
          <s v="&lt;11-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12-2025"/>
        </groupItems>
      </fieldGroup>
    </cacheField>
    <cacheField name="Months (Check-out-date)" numFmtId="0" databaseField="0">
      <fieldGroup base="5">
        <rangePr groupBy="months" startDate="2025-02-11T00:00:00" endDate="2025-12-15T00:00:00"/>
        <groupItems count="14">
          <s v="&lt;11-02-2025"/>
          <s v="Jan"/>
          <s v="Feb"/>
          <s v="Mar"/>
          <s v="Apr"/>
          <s v="May"/>
          <s v="Jun"/>
          <s v="Jul"/>
          <s v="Aug"/>
          <s v="Sep"/>
          <s v="Oct"/>
          <s v="Nov"/>
          <s v="Dec"/>
          <s v="&gt;15-1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Sree" refreshedDate="46082.357075115739" createdVersion="8" refreshedVersion="8" minRefreshableVersion="3" recordCount="50" xr:uid="{01B542AB-DEF7-43A6-BAE3-8FC00AF5B50F}">
  <cacheSource type="worksheet">
    <worksheetSource ref="D3:L53" sheet="Food Details"/>
  </cacheSource>
  <cacheFields count="9">
    <cacheField name="Room No" numFmtId="0">
      <sharedItems count="50">
        <s v="R102"/>
        <s v="R103"/>
        <s v="R104"/>
        <s v="R105"/>
        <s v="R106"/>
        <s v="R107"/>
        <s v="R108"/>
        <s v="R109"/>
        <s v="R110"/>
        <s v="R111"/>
        <s v="R112"/>
        <s v="R113"/>
        <s v="R114"/>
        <s v="R115"/>
        <s v="R116"/>
        <s v="R117"/>
        <s v="R118"/>
        <s v="R119"/>
        <s v="R120"/>
        <s v="R121"/>
        <s v="R122"/>
        <s v="R123"/>
        <s v="R124"/>
        <s v="R125"/>
        <s v="R126"/>
        <s v="R127"/>
        <s v="R128"/>
        <s v="R129"/>
        <s v="R130"/>
        <s v="R131"/>
        <s v="R132"/>
        <s v="R133"/>
        <s v="R134"/>
        <s v="R135"/>
        <s v="R136"/>
        <s v="R137"/>
        <s v="R138"/>
        <s v="R139"/>
        <s v="R140"/>
        <s v="R141"/>
        <s v="R142"/>
        <s v="R143"/>
        <s v="R144"/>
        <s v="R145"/>
        <s v="R146"/>
        <s v="R147"/>
        <s v="R148"/>
        <s v="R149"/>
        <s v="R150"/>
        <s v="R151"/>
      </sharedItems>
    </cacheField>
    <cacheField name="Food ID" numFmtId="0">
      <sharedItems count="7">
        <s v="F01"/>
        <s v="F02"/>
        <s v="F03"/>
        <s v="F04"/>
        <s v="F05"/>
        <s v="F06"/>
        <s v="F07"/>
      </sharedItems>
    </cacheField>
    <cacheField name="Food Type" numFmtId="0">
      <sharedItems count="2">
        <s v="Non-Veg"/>
        <s v="Veg"/>
      </sharedItems>
    </cacheField>
    <cacheField name="Food Name" numFmtId="0">
      <sharedItems count="7">
        <s v="Biryani"/>
        <s v="Puri"/>
        <s v="Mutton Biryani"/>
        <s v="Mutton Soup"/>
        <s v="Veg Biryani"/>
        <s v="Panner Biryani"/>
        <s v="Mushroom Biryani"/>
      </sharedItems>
    </cacheField>
    <cacheField name="Order Type" numFmtId="0">
      <sharedItems count="2">
        <s v="Dine-in"/>
        <s v="Takeaway"/>
      </sharedItems>
    </cacheField>
    <cacheField name="Quantity" numFmtId="0">
      <sharedItems containsSemiMixedTypes="0" containsString="0" containsNumber="1" containsInteger="1" minValue="1" maxValue="4"/>
    </cacheField>
    <cacheField name="Price" numFmtId="0">
      <sharedItems count="2">
        <s v="2000"/>
        <s v="1000"/>
      </sharedItems>
    </cacheField>
    <cacheField name="Total Amount" numFmtId="0">
      <sharedItems containsSemiMixedTypes="0" containsString="0" containsNumber="1" containsInteger="1" minValue="1000" maxValue="8000"/>
    </cacheField>
    <cacheField name="Order Date" numFmtId="14">
      <sharedItems containsSemiMixedTypes="0" containsNonDate="0" containsDate="1" containsString="0" minDate="2025-02-11T00:00:00" maxDate="2025-12-13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Sree" refreshedDate="46082.368192592592" createdVersion="8" refreshedVersion="8" minRefreshableVersion="3" recordCount="50" xr:uid="{5FFDAF58-AD55-4DC6-85B4-B86E19FBA77E}">
  <cacheSource type="worksheet">
    <worksheetSource ref="B3:H53" sheet="Total Bill"/>
  </cacheSource>
  <cacheFields count="9">
    <cacheField name="Coustmer ID" numFmtId="0">
      <sharedItems count="5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haredItems>
    </cacheField>
    <cacheField name="Room No" numFmtId="0">
      <sharedItems count="50">
        <s v="R102"/>
        <s v="R103"/>
        <s v="R104"/>
        <s v="R105"/>
        <s v="R106"/>
        <s v="R107"/>
        <s v="R108"/>
        <s v="R109"/>
        <s v="R110"/>
        <s v="R111"/>
        <s v="R112"/>
        <s v="R113"/>
        <s v="R114"/>
        <s v="R115"/>
        <s v="R116"/>
        <s v="R117"/>
        <s v="R118"/>
        <s v="R119"/>
        <s v="R120"/>
        <s v="R121"/>
        <s v="R122"/>
        <s v="R123"/>
        <s v="R124"/>
        <s v="R125"/>
        <s v="R126"/>
        <s v="R127"/>
        <s v="R128"/>
        <s v="R129"/>
        <s v="R130"/>
        <s v="R131"/>
        <s v="R132"/>
        <s v="R133"/>
        <s v="R134"/>
        <s v="R135"/>
        <s v="R136"/>
        <s v="R137"/>
        <s v="R138"/>
        <s v="R139"/>
        <s v="R140"/>
        <s v="R141"/>
        <s v="R142"/>
        <s v="R143"/>
        <s v="R144"/>
        <s v="R145"/>
        <s v="R146"/>
        <s v="R147"/>
        <s v="R148"/>
        <s v="R149"/>
        <s v="R150"/>
        <s v="R151"/>
      </sharedItems>
    </cacheField>
    <cacheField name="Floor No" numFmtId="0">
      <sharedItems containsSemiMixedTypes="0" containsString="0" containsNumber="1" containsInteger="1" minValue="1" maxValue="4"/>
    </cacheField>
    <cacheField name="Check-Out-Date" numFmtId="14">
      <sharedItems containsSemiMixedTypes="0" containsNonDate="0" containsDate="1" containsString="0" minDate="2025-02-11T00:00:00" maxDate="2025-12-15T00:00:00" count="10">
        <d v="2025-03-14T00:00:00"/>
        <d v="2025-02-11T00:00:00"/>
        <d v="2025-08-14T00:00:00"/>
        <d v="2025-03-13T00:00:00"/>
        <d v="2025-12-14T00:00:00"/>
        <d v="2025-04-01T00:00:00"/>
        <d v="2025-05-12T00:00:00"/>
        <d v="2025-09-11T00:00:00"/>
        <d v="2025-08-05T00:00:00"/>
        <d v="2025-06-09T00:00:00"/>
      </sharedItems>
      <fieldGroup par="8"/>
    </cacheField>
    <cacheField name="Room Amount" numFmtId="0">
      <sharedItems count="4">
        <s v="2000"/>
        <s v="4000"/>
        <s v="5000"/>
        <s v="6000"/>
      </sharedItems>
    </cacheField>
    <cacheField name="Food Amount" numFmtId="0">
      <sharedItems containsSemiMixedTypes="0" containsString="0" containsNumber="1" containsInteger="1" minValue="1000" maxValue="8000"/>
    </cacheField>
    <cacheField name="Total Bill" numFmtId="0">
      <sharedItems containsSemiMixedTypes="0" containsString="0" containsNumber="1" containsInteger="1" minValue="3000" maxValue="12000"/>
    </cacheField>
    <cacheField name="Days (Check-Out-Date)" numFmtId="0" databaseField="0">
      <fieldGroup base="3">
        <rangePr groupBy="days" startDate="2025-02-11T00:00:00" endDate="2025-12-15T00:00:00"/>
        <groupItems count="368">
          <s v="&lt;11-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12-2025"/>
        </groupItems>
      </fieldGroup>
    </cacheField>
    <cacheField name="Months (Check-Out-Date)" numFmtId="0" databaseField="0">
      <fieldGroup base="3">
        <rangePr groupBy="months" startDate="2025-02-11T00:00:00" endDate="2025-12-15T00:00:00"/>
        <groupItems count="14">
          <s v="&lt;11-02-2025"/>
          <s v="Jan"/>
          <s v="Feb"/>
          <s v="Mar"/>
          <s v="Apr"/>
          <s v="May"/>
          <s v="Jun"/>
          <s v="Jul"/>
          <s v="Aug"/>
          <s v="Sep"/>
          <s v="Oct"/>
          <s v="Nov"/>
          <s v="Dec"/>
          <s v="&gt;15-1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1"/>
    <x v="0"/>
    <x v="0"/>
    <x v="0"/>
    <x v="0"/>
    <n v="2"/>
    <n v="1"/>
    <x v="0"/>
  </r>
  <r>
    <x v="1"/>
    <n v="3"/>
    <x v="1"/>
    <x v="1"/>
    <x v="1"/>
    <x v="1"/>
    <n v="0"/>
    <n v="2"/>
    <x v="1"/>
  </r>
  <r>
    <x v="2"/>
    <n v="2"/>
    <x v="2"/>
    <x v="2"/>
    <x v="2"/>
    <x v="2"/>
    <n v="1"/>
    <n v="3"/>
    <x v="0"/>
  </r>
  <r>
    <x v="3"/>
    <n v="1"/>
    <x v="3"/>
    <x v="3"/>
    <x v="3"/>
    <x v="3"/>
    <n v="2"/>
    <n v="2"/>
    <x v="0"/>
  </r>
  <r>
    <x v="0"/>
    <n v="4"/>
    <x v="0"/>
    <x v="0"/>
    <x v="4"/>
    <x v="4"/>
    <n v="2"/>
    <n v="1"/>
    <x v="0"/>
  </r>
  <r>
    <x v="1"/>
    <n v="2"/>
    <x v="0"/>
    <x v="0"/>
    <x v="5"/>
    <x v="5"/>
    <n v="0"/>
    <n v="1"/>
    <x v="1"/>
  </r>
  <r>
    <x v="2"/>
    <n v="2"/>
    <x v="1"/>
    <x v="1"/>
    <x v="6"/>
    <x v="6"/>
    <n v="1"/>
    <n v="2"/>
    <x v="1"/>
  </r>
  <r>
    <x v="3"/>
    <n v="1"/>
    <x v="1"/>
    <x v="1"/>
    <x v="7"/>
    <x v="7"/>
    <n v="0"/>
    <n v="2"/>
    <x v="0"/>
  </r>
  <r>
    <x v="0"/>
    <n v="3"/>
    <x v="0"/>
    <x v="0"/>
    <x v="8"/>
    <x v="8"/>
    <n v="1"/>
    <n v="1"/>
    <x v="0"/>
  </r>
  <r>
    <x v="1"/>
    <n v="2"/>
    <x v="1"/>
    <x v="1"/>
    <x v="9"/>
    <x v="9"/>
    <n v="1"/>
    <n v="2"/>
    <x v="0"/>
  </r>
  <r>
    <x v="2"/>
    <n v="1"/>
    <x v="2"/>
    <x v="2"/>
    <x v="0"/>
    <x v="0"/>
    <n v="2"/>
    <n v="3"/>
    <x v="1"/>
  </r>
  <r>
    <x v="3"/>
    <n v="4"/>
    <x v="3"/>
    <x v="3"/>
    <x v="1"/>
    <x v="1"/>
    <n v="0"/>
    <n v="3"/>
    <x v="1"/>
  </r>
  <r>
    <x v="0"/>
    <n v="2"/>
    <x v="0"/>
    <x v="0"/>
    <x v="2"/>
    <x v="2"/>
    <n v="1"/>
    <n v="1"/>
    <x v="0"/>
  </r>
  <r>
    <x v="1"/>
    <n v="2"/>
    <x v="0"/>
    <x v="0"/>
    <x v="3"/>
    <x v="3"/>
    <n v="2"/>
    <n v="1"/>
    <x v="0"/>
  </r>
  <r>
    <x v="2"/>
    <n v="1"/>
    <x v="1"/>
    <x v="1"/>
    <x v="4"/>
    <x v="4"/>
    <n v="2"/>
    <n v="2"/>
    <x v="0"/>
  </r>
  <r>
    <x v="3"/>
    <n v="3"/>
    <x v="1"/>
    <x v="1"/>
    <x v="5"/>
    <x v="5"/>
    <n v="0"/>
    <n v="2"/>
    <x v="0"/>
  </r>
  <r>
    <x v="0"/>
    <n v="2"/>
    <x v="0"/>
    <x v="0"/>
    <x v="6"/>
    <x v="6"/>
    <n v="1"/>
    <n v="1"/>
    <x v="1"/>
  </r>
  <r>
    <x v="1"/>
    <n v="1"/>
    <x v="1"/>
    <x v="1"/>
    <x v="7"/>
    <x v="7"/>
    <n v="0"/>
    <n v="2"/>
    <x v="0"/>
  </r>
  <r>
    <x v="2"/>
    <n v="4"/>
    <x v="2"/>
    <x v="2"/>
    <x v="8"/>
    <x v="8"/>
    <n v="1"/>
    <n v="4"/>
    <x v="0"/>
  </r>
  <r>
    <x v="3"/>
    <n v="2"/>
    <x v="3"/>
    <x v="3"/>
    <x v="9"/>
    <x v="9"/>
    <n v="1"/>
    <n v="5"/>
    <x v="0"/>
  </r>
  <r>
    <x v="0"/>
    <n v="2"/>
    <x v="0"/>
    <x v="0"/>
    <x v="0"/>
    <x v="0"/>
    <n v="2"/>
    <n v="1"/>
    <x v="1"/>
  </r>
  <r>
    <x v="1"/>
    <n v="1"/>
    <x v="0"/>
    <x v="0"/>
    <x v="1"/>
    <x v="1"/>
    <n v="0"/>
    <n v="1"/>
    <x v="1"/>
  </r>
  <r>
    <x v="2"/>
    <n v="3"/>
    <x v="1"/>
    <x v="1"/>
    <x v="2"/>
    <x v="2"/>
    <n v="1"/>
    <n v="2"/>
    <x v="0"/>
  </r>
  <r>
    <x v="3"/>
    <n v="2"/>
    <x v="1"/>
    <x v="1"/>
    <x v="3"/>
    <x v="3"/>
    <n v="2"/>
    <n v="2"/>
    <x v="0"/>
  </r>
  <r>
    <x v="0"/>
    <n v="1"/>
    <x v="0"/>
    <x v="0"/>
    <x v="4"/>
    <x v="4"/>
    <n v="2"/>
    <n v="1"/>
    <x v="0"/>
  </r>
  <r>
    <x v="1"/>
    <n v="4"/>
    <x v="1"/>
    <x v="1"/>
    <x v="5"/>
    <x v="5"/>
    <n v="0"/>
    <n v="2"/>
    <x v="1"/>
  </r>
  <r>
    <x v="2"/>
    <n v="2"/>
    <x v="2"/>
    <x v="2"/>
    <x v="6"/>
    <x v="6"/>
    <n v="1"/>
    <n v="3"/>
    <x v="1"/>
  </r>
  <r>
    <x v="3"/>
    <n v="2"/>
    <x v="3"/>
    <x v="3"/>
    <x v="7"/>
    <x v="7"/>
    <n v="0"/>
    <n v="4"/>
    <x v="0"/>
  </r>
  <r>
    <x v="0"/>
    <n v="4"/>
    <x v="0"/>
    <x v="0"/>
    <x v="8"/>
    <x v="8"/>
    <n v="1"/>
    <n v="1"/>
    <x v="0"/>
  </r>
  <r>
    <x v="1"/>
    <n v="1"/>
    <x v="0"/>
    <x v="0"/>
    <x v="9"/>
    <x v="9"/>
    <n v="1"/>
    <n v="1"/>
    <x v="0"/>
  </r>
  <r>
    <x v="2"/>
    <n v="3"/>
    <x v="1"/>
    <x v="1"/>
    <x v="0"/>
    <x v="0"/>
    <n v="2"/>
    <n v="2"/>
    <x v="0"/>
  </r>
  <r>
    <x v="3"/>
    <n v="2"/>
    <x v="1"/>
    <x v="1"/>
    <x v="1"/>
    <x v="1"/>
    <n v="0"/>
    <n v="2"/>
    <x v="1"/>
  </r>
  <r>
    <x v="0"/>
    <n v="1"/>
    <x v="0"/>
    <x v="0"/>
    <x v="2"/>
    <x v="2"/>
    <n v="1"/>
    <n v="1"/>
    <x v="0"/>
  </r>
  <r>
    <x v="1"/>
    <n v="4"/>
    <x v="1"/>
    <x v="1"/>
    <x v="3"/>
    <x v="3"/>
    <n v="2"/>
    <n v="2"/>
    <x v="0"/>
  </r>
  <r>
    <x v="2"/>
    <n v="2"/>
    <x v="2"/>
    <x v="2"/>
    <x v="4"/>
    <x v="4"/>
    <n v="2"/>
    <n v="3"/>
    <x v="0"/>
  </r>
  <r>
    <x v="3"/>
    <n v="2"/>
    <x v="3"/>
    <x v="3"/>
    <x v="5"/>
    <x v="5"/>
    <n v="0"/>
    <n v="3"/>
    <x v="1"/>
  </r>
  <r>
    <x v="0"/>
    <n v="1"/>
    <x v="0"/>
    <x v="0"/>
    <x v="6"/>
    <x v="6"/>
    <n v="1"/>
    <n v="1"/>
    <x v="1"/>
  </r>
  <r>
    <x v="1"/>
    <n v="3"/>
    <x v="0"/>
    <x v="0"/>
    <x v="7"/>
    <x v="7"/>
    <n v="0"/>
    <n v="1"/>
    <x v="0"/>
  </r>
  <r>
    <x v="2"/>
    <n v="2"/>
    <x v="1"/>
    <x v="1"/>
    <x v="8"/>
    <x v="8"/>
    <n v="1"/>
    <n v="3"/>
    <x v="0"/>
  </r>
  <r>
    <x v="3"/>
    <n v="1"/>
    <x v="1"/>
    <x v="1"/>
    <x v="9"/>
    <x v="9"/>
    <n v="1"/>
    <n v="1"/>
    <x v="0"/>
  </r>
  <r>
    <x v="0"/>
    <n v="4"/>
    <x v="0"/>
    <x v="0"/>
    <x v="0"/>
    <x v="0"/>
    <n v="2"/>
    <n v="2"/>
    <x v="1"/>
  </r>
  <r>
    <x v="1"/>
    <n v="2"/>
    <x v="1"/>
    <x v="1"/>
    <x v="1"/>
    <x v="1"/>
    <n v="0"/>
    <n v="3"/>
    <x v="1"/>
  </r>
  <r>
    <x v="2"/>
    <n v="2"/>
    <x v="2"/>
    <x v="2"/>
    <x v="2"/>
    <x v="2"/>
    <n v="1"/>
    <n v="3"/>
    <x v="0"/>
  </r>
  <r>
    <x v="3"/>
    <n v="1"/>
    <x v="3"/>
    <x v="3"/>
    <x v="3"/>
    <x v="3"/>
    <n v="2"/>
    <n v="4"/>
    <x v="0"/>
  </r>
  <r>
    <x v="0"/>
    <n v="3"/>
    <x v="0"/>
    <x v="0"/>
    <x v="4"/>
    <x v="4"/>
    <n v="2"/>
    <n v="1"/>
    <x v="0"/>
  </r>
  <r>
    <x v="0"/>
    <n v="2"/>
    <x v="0"/>
    <x v="0"/>
    <x v="5"/>
    <x v="5"/>
    <n v="0"/>
    <n v="1"/>
    <x v="0"/>
  </r>
  <r>
    <x v="1"/>
    <n v="1"/>
    <x v="1"/>
    <x v="1"/>
    <x v="6"/>
    <x v="6"/>
    <n v="1"/>
    <n v="2"/>
    <x v="1"/>
  </r>
  <r>
    <x v="2"/>
    <n v="4"/>
    <x v="1"/>
    <x v="1"/>
    <x v="7"/>
    <x v="7"/>
    <n v="0"/>
    <n v="2"/>
    <x v="1"/>
  </r>
  <r>
    <x v="3"/>
    <n v="2"/>
    <x v="3"/>
    <x v="3"/>
    <x v="8"/>
    <x v="8"/>
    <n v="1"/>
    <n v="3"/>
    <x v="0"/>
  </r>
  <r>
    <x v="0"/>
    <n v="2"/>
    <x v="2"/>
    <x v="2"/>
    <x v="9"/>
    <x v="9"/>
    <n v="1"/>
    <n v="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n v="1"/>
    <x v="0"/>
    <n v="2000"/>
    <d v="2025-03-12T00:00:00"/>
  </r>
  <r>
    <x v="1"/>
    <x v="1"/>
    <x v="1"/>
    <x v="1"/>
    <x v="1"/>
    <n v="2"/>
    <x v="1"/>
    <n v="2000"/>
    <d v="2025-02-11T00:00:00"/>
  </r>
  <r>
    <x v="2"/>
    <x v="2"/>
    <x v="0"/>
    <x v="2"/>
    <x v="0"/>
    <n v="2"/>
    <x v="0"/>
    <n v="4000"/>
    <d v="2025-08-13T00:00:00"/>
  </r>
  <r>
    <x v="3"/>
    <x v="3"/>
    <x v="0"/>
    <x v="3"/>
    <x v="0"/>
    <n v="3"/>
    <x v="0"/>
    <n v="6000"/>
    <d v="2025-03-11T00:00:00"/>
  </r>
  <r>
    <x v="4"/>
    <x v="4"/>
    <x v="1"/>
    <x v="4"/>
    <x v="1"/>
    <n v="1"/>
    <x v="1"/>
    <n v="1000"/>
    <d v="2025-12-12T00:00:00"/>
  </r>
  <r>
    <x v="5"/>
    <x v="5"/>
    <x v="1"/>
    <x v="5"/>
    <x v="0"/>
    <n v="2"/>
    <x v="0"/>
    <n v="4000"/>
    <d v="2025-04-01T00:00:00"/>
  </r>
  <r>
    <x v="6"/>
    <x v="6"/>
    <x v="1"/>
    <x v="6"/>
    <x v="1"/>
    <n v="2"/>
    <x v="1"/>
    <n v="2000"/>
    <d v="2025-05-11T00:00:00"/>
  </r>
  <r>
    <x v="7"/>
    <x v="2"/>
    <x v="0"/>
    <x v="2"/>
    <x v="1"/>
    <n v="4"/>
    <x v="1"/>
    <n v="4000"/>
    <d v="2025-09-11T00:00:00"/>
  </r>
  <r>
    <x v="8"/>
    <x v="3"/>
    <x v="0"/>
    <x v="3"/>
    <x v="0"/>
    <n v="2"/>
    <x v="0"/>
    <n v="4000"/>
    <d v="2025-08-04T00:00:00"/>
  </r>
  <r>
    <x v="9"/>
    <x v="4"/>
    <x v="1"/>
    <x v="4"/>
    <x v="1"/>
    <n v="1"/>
    <x v="1"/>
    <n v="1000"/>
    <d v="2025-06-08T00:00:00"/>
  </r>
  <r>
    <x v="10"/>
    <x v="5"/>
    <x v="1"/>
    <x v="5"/>
    <x v="0"/>
    <n v="2"/>
    <x v="0"/>
    <n v="4000"/>
    <d v="2025-03-12T00:00:00"/>
  </r>
  <r>
    <x v="11"/>
    <x v="6"/>
    <x v="1"/>
    <x v="6"/>
    <x v="1"/>
    <n v="1"/>
    <x v="1"/>
    <n v="1000"/>
    <d v="2025-02-11T00:00:00"/>
  </r>
  <r>
    <x v="12"/>
    <x v="0"/>
    <x v="0"/>
    <x v="0"/>
    <x v="0"/>
    <n v="2"/>
    <x v="0"/>
    <n v="4000"/>
    <d v="2025-08-13T00:00:00"/>
  </r>
  <r>
    <x v="13"/>
    <x v="1"/>
    <x v="1"/>
    <x v="1"/>
    <x v="0"/>
    <n v="1"/>
    <x v="0"/>
    <n v="2000"/>
    <d v="2025-03-11T00:00:00"/>
  </r>
  <r>
    <x v="14"/>
    <x v="2"/>
    <x v="0"/>
    <x v="2"/>
    <x v="1"/>
    <n v="2"/>
    <x v="1"/>
    <n v="2000"/>
    <d v="2025-12-12T00:00:00"/>
  </r>
  <r>
    <x v="15"/>
    <x v="3"/>
    <x v="0"/>
    <x v="3"/>
    <x v="0"/>
    <n v="2"/>
    <x v="0"/>
    <n v="4000"/>
    <d v="2025-04-01T00:00:00"/>
  </r>
  <r>
    <x v="16"/>
    <x v="4"/>
    <x v="1"/>
    <x v="4"/>
    <x v="1"/>
    <n v="3"/>
    <x v="1"/>
    <n v="3000"/>
    <d v="2025-05-11T00:00:00"/>
  </r>
  <r>
    <x v="17"/>
    <x v="5"/>
    <x v="1"/>
    <x v="5"/>
    <x v="1"/>
    <n v="1"/>
    <x v="1"/>
    <n v="1000"/>
    <d v="2025-09-11T00:00:00"/>
  </r>
  <r>
    <x v="18"/>
    <x v="6"/>
    <x v="1"/>
    <x v="6"/>
    <x v="0"/>
    <n v="2"/>
    <x v="0"/>
    <n v="4000"/>
    <d v="2025-08-04T00:00:00"/>
  </r>
  <r>
    <x v="19"/>
    <x v="4"/>
    <x v="1"/>
    <x v="4"/>
    <x v="1"/>
    <n v="3"/>
    <x v="1"/>
    <n v="3000"/>
    <d v="2025-06-08T00:00:00"/>
  </r>
  <r>
    <x v="20"/>
    <x v="5"/>
    <x v="1"/>
    <x v="5"/>
    <x v="0"/>
    <n v="1"/>
    <x v="0"/>
    <n v="2000"/>
    <d v="2025-03-12T00:00:00"/>
  </r>
  <r>
    <x v="21"/>
    <x v="6"/>
    <x v="1"/>
    <x v="6"/>
    <x v="1"/>
    <n v="1"/>
    <x v="1"/>
    <n v="1000"/>
    <d v="2025-02-11T00:00:00"/>
  </r>
  <r>
    <x v="22"/>
    <x v="0"/>
    <x v="0"/>
    <x v="0"/>
    <x v="0"/>
    <n v="3"/>
    <x v="0"/>
    <n v="6000"/>
    <d v="2025-08-13T00:00:00"/>
  </r>
  <r>
    <x v="23"/>
    <x v="1"/>
    <x v="1"/>
    <x v="1"/>
    <x v="0"/>
    <n v="2"/>
    <x v="0"/>
    <n v="4000"/>
    <d v="2025-03-11T00:00:00"/>
  </r>
  <r>
    <x v="24"/>
    <x v="2"/>
    <x v="0"/>
    <x v="2"/>
    <x v="1"/>
    <n v="3"/>
    <x v="1"/>
    <n v="3000"/>
    <d v="2025-12-12T00:00:00"/>
  </r>
  <r>
    <x v="25"/>
    <x v="3"/>
    <x v="0"/>
    <x v="3"/>
    <x v="0"/>
    <n v="1"/>
    <x v="0"/>
    <n v="2000"/>
    <d v="2025-04-01T00:00:00"/>
  </r>
  <r>
    <x v="26"/>
    <x v="4"/>
    <x v="1"/>
    <x v="4"/>
    <x v="1"/>
    <n v="4"/>
    <x v="1"/>
    <n v="4000"/>
    <d v="2025-05-11T00:00:00"/>
  </r>
  <r>
    <x v="27"/>
    <x v="5"/>
    <x v="1"/>
    <x v="5"/>
    <x v="1"/>
    <n v="4"/>
    <x v="1"/>
    <n v="4000"/>
    <d v="2025-09-11T00:00:00"/>
  </r>
  <r>
    <x v="28"/>
    <x v="6"/>
    <x v="1"/>
    <x v="6"/>
    <x v="0"/>
    <n v="3"/>
    <x v="0"/>
    <n v="6000"/>
    <d v="2025-08-04T00:00:00"/>
  </r>
  <r>
    <x v="29"/>
    <x v="4"/>
    <x v="1"/>
    <x v="4"/>
    <x v="1"/>
    <n v="2"/>
    <x v="1"/>
    <n v="2000"/>
    <d v="2025-06-08T00:00:00"/>
  </r>
  <r>
    <x v="30"/>
    <x v="5"/>
    <x v="1"/>
    <x v="5"/>
    <x v="0"/>
    <n v="4"/>
    <x v="0"/>
    <n v="8000"/>
    <d v="2025-03-12T00:00:00"/>
  </r>
  <r>
    <x v="31"/>
    <x v="6"/>
    <x v="1"/>
    <x v="6"/>
    <x v="1"/>
    <n v="1"/>
    <x v="1"/>
    <n v="1000"/>
    <d v="2025-02-11T00:00:00"/>
  </r>
  <r>
    <x v="32"/>
    <x v="0"/>
    <x v="0"/>
    <x v="0"/>
    <x v="0"/>
    <n v="3"/>
    <x v="0"/>
    <n v="6000"/>
    <d v="2025-08-13T00:00:00"/>
  </r>
  <r>
    <x v="33"/>
    <x v="1"/>
    <x v="1"/>
    <x v="1"/>
    <x v="0"/>
    <n v="2"/>
    <x v="0"/>
    <n v="4000"/>
    <d v="2025-03-11T00:00:00"/>
  </r>
  <r>
    <x v="34"/>
    <x v="4"/>
    <x v="1"/>
    <x v="4"/>
    <x v="1"/>
    <n v="4"/>
    <x v="1"/>
    <n v="4000"/>
    <d v="2025-12-12T00:00:00"/>
  </r>
  <r>
    <x v="35"/>
    <x v="5"/>
    <x v="1"/>
    <x v="5"/>
    <x v="0"/>
    <n v="2"/>
    <x v="0"/>
    <n v="4000"/>
    <d v="2025-04-01T00:00:00"/>
  </r>
  <r>
    <x v="36"/>
    <x v="6"/>
    <x v="1"/>
    <x v="6"/>
    <x v="1"/>
    <n v="4"/>
    <x v="1"/>
    <n v="4000"/>
    <d v="2025-05-11T00:00:00"/>
  </r>
  <r>
    <x v="37"/>
    <x v="2"/>
    <x v="0"/>
    <x v="2"/>
    <x v="1"/>
    <n v="3"/>
    <x v="1"/>
    <n v="3000"/>
    <d v="2025-09-11T00:00:00"/>
  </r>
  <r>
    <x v="38"/>
    <x v="3"/>
    <x v="0"/>
    <x v="3"/>
    <x v="0"/>
    <n v="1"/>
    <x v="0"/>
    <n v="2000"/>
    <d v="2025-08-04T00:00:00"/>
  </r>
  <r>
    <x v="39"/>
    <x v="0"/>
    <x v="0"/>
    <x v="0"/>
    <x v="1"/>
    <n v="4"/>
    <x v="1"/>
    <n v="4000"/>
    <d v="2025-06-08T00:00:00"/>
  </r>
  <r>
    <x v="40"/>
    <x v="0"/>
    <x v="0"/>
    <x v="0"/>
    <x v="0"/>
    <n v="2"/>
    <x v="0"/>
    <n v="4000"/>
    <d v="2025-03-12T00:00:00"/>
  </r>
  <r>
    <x v="41"/>
    <x v="6"/>
    <x v="1"/>
    <x v="6"/>
    <x v="1"/>
    <n v="4"/>
    <x v="1"/>
    <n v="4000"/>
    <d v="2025-02-11T00:00:00"/>
  </r>
  <r>
    <x v="42"/>
    <x v="0"/>
    <x v="0"/>
    <x v="0"/>
    <x v="0"/>
    <n v="2"/>
    <x v="0"/>
    <n v="4000"/>
    <d v="2025-08-13T00:00:00"/>
  </r>
  <r>
    <x v="43"/>
    <x v="1"/>
    <x v="1"/>
    <x v="1"/>
    <x v="0"/>
    <n v="3"/>
    <x v="0"/>
    <n v="6000"/>
    <d v="2025-03-11T00:00:00"/>
  </r>
  <r>
    <x v="44"/>
    <x v="2"/>
    <x v="0"/>
    <x v="2"/>
    <x v="1"/>
    <n v="1"/>
    <x v="1"/>
    <n v="1000"/>
    <d v="2025-12-12T00:00:00"/>
  </r>
  <r>
    <x v="45"/>
    <x v="3"/>
    <x v="0"/>
    <x v="3"/>
    <x v="0"/>
    <n v="3"/>
    <x v="0"/>
    <n v="6000"/>
    <d v="2025-04-01T00:00:00"/>
  </r>
  <r>
    <x v="46"/>
    <x v="4"/>
    <x v="1"/>
    <x v="4"/>
    <x v="1"/>
    <n v="4"/>
    <x v="1"/>
    <n v="4000"/>
    <d v="2025-05-11T00:00:00"/>
  </r>
  <r>
    <x v="47"/>
    <x v="5"/>
    <x v="1"/>
    <x v="5"/>
    <x v="1"/>
    <n v="2"/>
    <x v="1"/>
    <n v="2000"/>
    <d v="2025-09-11T00:00:00"/>
  </r>
  <r>
    <x v="48"/>
    <x v="0"/>
    <x v="0"/>
    <x v="0"/>
    <x v="0"/>
    <n v="1"/>
    <x v="0"/>
    <n v="2000"/>
    <d v="2025-08-04T00:00:00"/>
  </r>
  <r>
    <x v="49"/>
    <x v="0"/>
    <x v="0"/>
    <x v="0"/>
    <x v="1"/>
    <n v="2"/>
    <x v="1"/>
    <n v="2000"/>
    <d v="2025-06-08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1"/>
    <x v="0"/>
    <x v="0"/>
    <n v="2000"/>
    <n v="4000"/>
  </r>
  <r>
    <x v="1"/>
    <x v="1"/>
    <n v="3"/>
    <x v="1"/>
    <x v="1"/>
    <n v="2000"/>
    <n v="6000"/>
  </r>
  <r>
    <x v="2"/>
    <x v="2"/>
    <n v="2"/>
    <x v="2"/>
    <x v="2"/>
    <n v="4000"/>
    <n v="9000"/>
  </r>
  <r>
    <x v="3"/>
    <x v="3"/>
    <n v="1"/>
    <x v="3"/>
    <x v="3"/>
    <n v="6000"/>
    <n v="12000"/>
  </r>
  <r>
    <x v="4"/>
    <x v="4"/>
    <n v="4"/>
    <x v="4"/>
    <x v="0"/>
    <n v="1000"/>
    <n v="3000"/>
  </r>
  <r>
    <x v="5"/>
    <x v="5"/>
    <n v="2"/>
    <x v="5"/>
    <x v="0"/>
    <n v="4000"/>
    <n v="6000"/>
  </r>
  <r>
    <x v="6"/>
    <x v="6"/>
    <n v="2"/>
    <x v="6"/>
    <x v="1"/>
    <n v="2000"/>
    <n v="6000"/>
  </r>
  <r>
    <x v="7"/>
    <x v="7"/>
    <n v="1"/>
    <x v="7"/>
    <x v="1"/>
    <n v="4000"/>
    <n v="8000"/>
  </r>
  <r>
    <x v="8"/>
    <x v="8"/>
    <n v="3"/>
    <x v="8"/>
    <x v="0"/>
    <n v="4000"/>
    <n v="6000"/>
  </r>
  <r>
    <x v="9"/>
    <x v="9"/>
    <n v="2"/>
    <x v="9"/>
    <x v="1"/>
    <n v="1000"/>
    <n v="5000"/>
  </r>
  <r>
    <x v="10"/>
    <x v="10"/>
    <n v="1"/>
    <x v="0"/>
    <x v="2"/>
    <n v="4000"/>
    <n v="9000"/>
  </r>
  <r>
    <x v="11"/>
    <x v="11"/>
    <n v="4"/>
    <x v="1"/>
    <x v="3"/>
    <n v="1000"/>
    <n v="7000"/>
  </r>
  <r>
    <x v="12"/>
    <x v="12"/>
    <n v="2"/>
    <x v="2"/>
    <x v="0"/>
    <n v="4000"/>
    <n v="6000"/>
  </r>
  <r>
    <x v="13"/>
    <x v="13"/>
    <n v="2"/>
    <x v="3"/>
    <x v="0"/>
    <n v="2000"/>
    <n v="4000"/>
  </r>
  <r>
    <x v="14"/>
    <x v="14"/>
    <n v="1"/>
    <x v="4"/>
    <x v="1"/>
    <n v="2000"/>
    <n v="6000"/>
  </r>
  <r>
    <x v="15"/>
    <x v="15"/>
    <n v="3"/>
    <x v="5"/>
    <x v="1"/>
    <n v="4000"/>
    <n v="8000"/>
  </r>
  <r>
    <x v="16"/>
    <x v="16"/>
    <n v="2"/>
    <x v="6"/>
    <x v="0"/>
    <n v="3000"/>
    <n v="5000"/>
  </r>
  <r>
    <x v="17"/>
    <x v="17"/>
    <n v="1"/>
    <x v="7"/>
    <x v="1"/>
    <n v="1000"/>
    <n v="5000"/>
  </r>
  <r>
    <x v="18"/>
    <x v="18"/>
    <n v="4"/>
    <x v="8"/>
    <x v="2"/>
    <n v="4000"/>
    <n v="9000"/>
  </r>
  <r>
    <x v="19"/>
    <x v="19"/>
    <n v="2"/>
    <x v="9"/>
    <x v="3"/>
    <n v="3000"/>
    <n v="9000"/>
  </r>
  <r>
    <x v="20"/>
    <x v="20"/>
    <n v="2"/>
    <x v="0"/>
    <x v="0"/>
    <n v="2000"/>
    <n v="4000"/>
  </r>
  <r>
    <x v="21"/>
    <x v="21"/>
    <n v="1"/>
    <x v="1"/>
    <x v="0"/>
    <n v="1000"/>
    <n v="3000"/>
  </r>
  <r>
    <x v="22"/>
    <x v="22"/>
    <n v="3"/>
    <x v="2"/>
    <x v="1"/>
    <n v="6000"/>
    <n v="10000"/>
  </r>
  <r>
    <x v="23"/>
    <x v="23"/>
    <n v="2"/>
    <x v="3"/>
    <x v="1"/>
    <n v="4000"/>
    <n v="8000"/>
  </r>
  <r>
    <x v="24"/>
    <x v="24"/>
    <n v="1"/>
    <x v="4"/>
    <x v="0"/>
    <n v="3000"/>
    <n v="5000"/>
  </r>
  <r>
    <x v="25"/>
    <x v="25"/>
    <n v="4"/>
    <x v="5"/>
    <x v="1"/>
    <n v="2000"/>
    <n v="6000"/>
  </r>
  <r>
    <x v="26"/>
    <x v="26"/>
    <n v="2"/>
    <x v="6"/>
    <x v="2"/>
    <n v="4000"/>
    <n v="9000"/>
  </r>
  <r>
    <x v="27"/>
    <x v="27"/>
    <n v="2"/>
    <x v="7"/>
    <x v="3"/>
    <n v="4000"/>
    <n v="10000"/>
  </r>
  <r>
    <x v="28"/>
    <x v="28"/>
    <n v="4"/>
    <x v="8"/>
    <x v="0"/>
    <n v="6000"/>
    <n v="8000"/>
  </r>
  <r>
    <x v="29"/>
    <x v="29"/>
    <n v="1"/>
    <x v="9"/>
    <x v="0"/>
    <n v="2000"/>
    <n v="4000"/>
  </r>
  <r>
    <x v="30"/>
    <x v="30"/>
    <n v="3"/>
    <x v="0"/>
    <x v="1"/>
    <n v="8000"/>
    <n v="12000"/>
  </r>
  <r>
    <x v="31"/>
    <x v="31"/>
    <n v="2"/>
    <x v="1"/>
    <x v="1"/>
    <n v="1000"/>
    <n v="5000"/>
  </r>
  <r>
    <x v="32"/>
    <x v="32"/>
    <n v="1"/>
    <x v="2"/>
    <x v="0"/>
    <n v="6000"/>
    <n v="8000"/>
  </r>
  <r>
    <x v="33"/>
    <x v="33"/>
    <n v="4"/>
    <x v="3"/>
    <x v="1"/>
    <n v="4000"/>
    <n v="8000"/>
  </r>
  <r>
    <x v="34"/>
    <x v="34"/>
    <n v="2"/>
    <x v="4"/>
    <x v="2"/>
    <n v="4000"/>
    <n v="9000"/>
  </r>
  <r>
    <x v="35"/>
    <x v="35"/>
    <n v="2"/>
    <x v="5"/>
    <x v="3"/>
    <n v="4000"/>
    <n v="10000"/>
  </r>
  <r>
    <x v="36"/>
    <x v="36"/>
    <n v="1"/>
    <x v="6"/>
    <x v="0"/>
    <n v="4000"/>
    <n v="6000"/>
  </r>
  <r>
    <x v="37"/>
    <x v="37"/>
    <n v="3"/>
    <x v="7"/>
    <x v="0"/>
    <n v="3000"/>
    <n v="5000"/>
  </r>
  <r>
    <x v="38"/>
    <x v="38"/>
    <n v="2"/>
    <x v="8"/>
    <x v="1"/>
    <n v="2000"/>
    <n v="6000"/>
  </r>
  <r>
    <x v="39"/>
    <x v="39"/>
    <n v="1"/>
    <x v="9"/>
    <x v="1"/>
    <n v="4000"/>
    <n v="8000"/>
  </r>
  <r>
    <x v="40"/>
    <x v="40"/>
    <n v="4"/>
    <x v="0"/>
    <x v="0"/>
    <n v="4000"/>
    <n v="6000"/>
  </r>
  <r>
    <x v="41"/>
    <x v="41"/>
    <n v="2"/>
    <x v="1"/>
    <x v="1"/>
    <n v="4000"/>
    <n v="8000"/>
  </r>
  <r>
    <x v="42"/>
    <x v="42"/>
    <n v="2"/>
    <x v="2"/>
    <x v="2"/>
    <n v="4000"/>
    <n v="9000"/>
  </r>
  <r>
    <x v="43"/>
    <x v="43"/>
    <n v="1"/>
    <x v="3"/>
    <x v="3"/>
    <n v="6000"/>
    <n v="12000"/>
  </r>
  <r>
    <x v="44"/>
    <x v="44"/>
    <n v="3"/>
    <x v="4"/>
    <x v="0"/>
    <n v="1000"/>
    <n v="3000"/>
  </r>
  <r>
    <x v="45"/>
    <x v="45"/>
    <n v="2"/>
    <x v="5"/>
    <x v="0"/>
    <n v="6000"/>
    <n v="8000"/>
  </r>
  <r>
    <x v="46"/>
    <x v="46"/>
    <n v="1"/>
    <x v="6"/>
    <x v="1"/>
    <n v="4000"/>
    <n v="8000"/>
  </r>
  <r>
    <x v="47"/>
    <x v="47"/>
    <n v="4"/>
    <x v="7"/>
    <x v="1"/>
    <n v="2000"/>
    <n v="6000"/>
  </r>
  <r>
    <x v="48"/>
    <x v="48"/>
    <n v="2"/>
    <x v="8"/>
    <x v="3"/>
    <n v="2000"/>
    <n v="8000"/>
  </r>
  <r>
    <x v="49"/>
    <x v="49"/>
    <n v="2"/>
    <x v="9"/>
    <x v="2"/>
    <n v="2000"/>
    <n v="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040BA4-9E5B-42D7-B431-58793EC6DD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1" firstHeaderRow="1" firstDataRow="1" firstDataCol="1"/>
  <pivotFields count="13">
    <pivotField axis="axisRow" showAll="0">
      <items count="5">
        <item x="2"/>
        <item x="1"/>
        <item x="0"/>
        <item x="3"/>
        <item t="default"/>
      </items>
    </pivotField>
    <pivotField showAll="0"/>
    <pivotField axis="axisRow" showAll="0">
      <items count="5">
        <item x="1"/>
        <item x="3"/>
        <item x="2"/>
        <item x="0"/>
        <item t="default"/>
      </items>
    </pivotField>
    <pivotField axis="axisRow" showAll="0">
      <items count="5">
        <item x="0"/>
        <item x="1"/>
        <item x="2"/>
        <item x="3"/>
        <item t="default"/>
      </items>
    </pivotField>
    <pivotField axis="axisRow" numFmtId="14" showAll="0">
      <items count="11">
        <item x="1"/>
        <item x="3"/>
        <item x="0"/>
        <item x="5"/>
        <item x="6"/>
        <item x="9"/>
        <item x="8"/>
        <item x="2"/>
        <item x="7"/>
        <item x="4"/>
        <item t="default"/>
      </items>
    </pivotField>
    <pivotField axis="axisRow" numFmtId="14" showAll="0">
      <items count="11">
        <item x="1"/>
        <item x="3"/>
        <item x="0"/>
        <item x="5"/>
        <item x="6"/>
        <item x="9"/>
        <item x="8"/>
        <item x="2"/>
        <item x="7"/>
        <item x="4"/>
        <item t="default"/>
      </items>
    </pivotField>
    <pivotField dataField="1" showAll="0"/>
    <pivotField showAll="0"/>
    <pivotField axis="axisRow" showAll="0">
      <items count="3">
        <item x="0"/>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0">
    <field x="0"/>
    <field x="2"/>
    <field x="3"/>
    <field x="10"/>
    <field x="9"/>
    <field x="4"/>
    <field x="12"/>
    <field x="11"/>
    <field x="5"/>
    <field x="8"/>
  </rowFields>
  <rowItems count="58">
    <i>
      <x/>
    </i>
    <i r="1">
      <x/>
    </i>
    <i r="2">
      <x v="1"/>
    </i>
    <i r="3">
      <x v="3"/>
    </i>
    <i r="3">
      <x v="5"/>
    </i>
    <i r="3">
      <x v="8"/>
    </i>
    <i r="3">
      <x v="9"/>
    </i>
    <i r="3">
      <x v="12"/>
    </i>
    <i r="1">
      <x v="2"/>
    </i>
    <i r="2">
      <x v="2"/>
    </i>
    <i r="3">
      <x v="3"/>
    </i>
    <i r="3">
      <x v="5"/>
    </i>
    <i r="3">
      <x v="8"/>
    </i>
    <i r="3">
      <x v="12"/>
    </i>
    <i>
      <x v="1"/>
    </i>
    <i r="1">
      <x/>
    </i>
    <i r="2">
      <x v="1"/>
    </i>
    <i r="3">
      <x v="2"/>
    </i>
    <i r="3">
      <x v="3"/>
    </i>
    <i r="3">
      <x v="4"/>
    </i>
    <i r="3">
      <x v="5"/>
    </i>
    <i r="3">
      <x v="6"/>
    </i>
    <i r="3">
      <x v="9"/>
    </i>
    <i r="1">
      <x v="3"/>
    </i>
    <i r="2">
      <x/>
    </i>
    <i r="3">
      <x v="2"/>
    </i>
    <i r="3">
      <x v="3"/>
    </i>
    <i r="3">
      <x v="4"/>
    </i>
    <i r="3">
      <x v="6"/>
    </i>
    <i r="3">
      <x v="9"/>
    </i>
    <i>
      <x v="2"/>
    </i>
    <i r="1">
      <x v="2"/>
    </i>
    <i r="2">
      <x v="2"/>
    </i>
    <i r="3">
      <x v="6"/>
    </i>
    <i r="1">
      <x v="3"/>
    </i>
    <i r="2">
      <x/>
    </i>
    <i r="3">
      <x v="3"/>
    </i>
    <i r="3">
      <x v="4"/>
    </i>
    <i r="3">
      <x v="5"/>
    </i>
    <i r="3">
      <x v="8"/>
    </i>
    <i r="3">
      <x v="12"/>
    </i>
    <i>
      <x v="3"/>
    </i>
    <i r="1">
      <x/>
    </i>
    <i r="2">
      <x v="1"/>
    </i>
    <i r="3">
      <x v="2"/>
    </i>
    <i r="3">
      <x v="3"/>
    </i>
    <i r="3">
      <x v="4"/>
    </i>
    <i r="3">
      <x v="6"/>
    </i>
    <i r="3">
      <x v="9"/>
    </i>
    <i r="1">
      <x v="1"/>
    </i>
    <i r="2">
      <x v="3"/>
    </i>
    <i r="3">
      <x v="2"/>
    </i>
    <i r="3">
      <x v="3"/>
    </i>
    <i r="3">
      <x v="4"/>
    </i>
    <i r="3">
      <x v="6"/>
    </i>
    <i r="3">
      <x v="8"/>
    </i>
    <i r="3">
      <x v="9"/>
    </i>
    <i t="grand">
      <x/>
    </i>
  </rowItems>
  <colItems count="1">
    <i/>
  </colItems>
  <dataFields count="1">
    <dataField name="Sum of No.of Day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542B8-8360-4940-8996-A2F0C7F8A41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C49" firstHeaderRow="0" firstDataRow="1" firstDataCol="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8">
        <item x="0"/>
        <item x="1"/>
        <item x="2"/>
        <item x="3"/>
        <item x="4"/>
        <item x="5"/>
        <item x="6"/>
        <item t="default"/>
      </items>
    </pivotField>
    <pivotField axis="axisRow" showAll="0">
      <items count="3">
        <item x="0"/>
        <item x="1"/>
        <item t="default"/>
      </items>
    </pivotField>
    <pivotField axis="axisRow" showAll="0">
      <items count="8">
        <item x="0"/>
        <item x="6"/>
        <item x="2"/>
        <item x="3"/>
        <item x="5"/>
        <item x="1"/>
        <item x="4"/>
        <item t="default"/>
      </items>
    </pivotField>
    <pivotField axis="axisRow" showAll="0">
      <items count="3">
        <item x="0"/>
        <item x="1"/>
        <item t="default"/>
      </items>
    </pivotField>
    <pivotField dataField="1" showAll="0"/>
    <pivotField axis="axisRow" showAll="0">
      <items count="3">
        <item x="1"/>
        <item x="0"/>
        <item t="default"/>
      </items>
    </pivotField>
    <pivotField dataField="1" showAll="0"/>
    <pivotField numFmtId="14" showAll="0"/>
  </pivotFields>
  <rowFields count="5">
    <field x="1"/>
    <field x="2"/>
    <field x="3"/>
    <field x="6"/>
    <field x="4"/>
  </rowFields>
  <rowItems count="46">
    <i>
      <x/>
    </i>
    <i r="1">
      <x/>
    </i>
    <i r="2">
      <x/>
    </i>
    <i r="3">
      <x/>
    </i>
    <i r="4">
      <x v="1"/>
    </i>
    <i r="3">
      <x v="1"/>
    </i>
    <i r="4">
      <x/>
    </i>
    <i>
      <x v="1"/>
    </i>
    <i r="1">
      <x v="1"/>
    </i>
    <i r="2">
      <x v="5"/>
    </i>
    <i r="3">
      <x/>
    </i>
    <i r="4">
      <x v="1"/>
    </i>
    <i r="3">
      <x v="1"/>
    </i>
    <i r="4">
      <x/>
    </i>
    <i>
      <x v="2"/>
    </i>
    <i r="1">
      <x/>
    </i>
    <i r="2">
      <x v="2"/>
    </i>
    <i r="3">
      <x/>
    </i>
    <i r="4">
      <x v="1"/>
    </i>
    <i r="3">
      <x v="1"/>
    </i>
    <i r="4">
      <x/>
    </i>
    <i>
      <x v="3"/>
    </i>
    <i r="1">
      <x/>
    </i>
    <i r="2">
      <x v="3"/>
    </i>
    <i r="3">
      <x v="1"/>
    </i>
    <i r="4">
      <x/>
    </i>
    <i>
      <x v="4"/>
    </i>
    <i r="1">
      <x v="1"/>
    </i>
    <i r="2">
      <x v="6"/>
    </i>
    <i r="3">
      <x/>
    </i>
    <i r="4">
      <x v="1"/>
    </i>
    <i>
      <x v="5"/>
    </i>
    <i r="1">
      <x v="1"/>
    </i>
    <i r="2">
      <x v="4"/>
    </i>
    <i r="3">
      <x/>
    </i>
    <i r="4">
      <x v="1"/>
    </i>
    <i r="3">
      <x v="1"/>
    </i>
    <i r="4">
      <x/>
    </i>
    <i>
      <x v="6"/>
    </i>
    <i r="1">
      <x v="1"/>
    </i>
    <i r="2">
      <x v="1"/>
    </i>
    <i r="3">
      <x/>
    </i>
    <i r="4">
      <x v="1"/>
    </i>
    <i r="3">
      <x v="1"/>
    </i>
    <i r="4">
      <x/>
    </i>
    <i t="grand">
      <x/>
    </i>
  </rowItems>
  <colFields count="1">
    <field x="-2"/>
  </colFields>
  <colItems count="2">
    <i>
      <x/>
    </i>
    <i i="1">
      <x v="1"/>
    </i>
  </colItems>
  <dataFields count="2">
    <dataField name="Sum of Quantity" fld="5" baseField="0" baseItem="0"/>
    <dataField name="Sum of Total Amount" fld="7"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899CEB-12B0-43D7-85F9-66BD985168D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58" firstHeaderRow="0" firstDataRow="1" firstDataCol="1"/>
  <pivotFields count="9">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numFmtId="14" showAll="0">
      <items count="11">
        <item x="1"/>
        <item x="3"/>
        <item x="0"/>
        <item x="5"/>
        <item x="6"/>
        <item x="9"/>
        <item x="8"/>
        <item x="2"/>
        <item x="7"/>
        <item x="4"/>
        <item t="default"/>
      </items>
    </pivotField>
    <pivotField axis="axisRow" showAll="0">
      <items count="5">
        <item x="0"/>
        <item x="1"/>
        <item x="2"/>
        <item x="3"/>
        <item t="default"/>
      </items>
    </pivotField>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0"/>
  </rowFields>
  <rowItems count="55">
    <i>
      <x/>
    </i>
    <i r="1">
      <x/>
    </i>
    <i r="1">
      <x v="4"/>
    </i>
    <i r="1">
      <x v="5"/>
    </i>
    <i r="1">
      <x v="8"/>
    </i>
    <i r="1">
      <x v="12"/>
    </i>
    <i r="1">
      <x v="13"/>
    </i>
    <i r="1">
      <x v="16"/>
    </i>
    <i r="1">
      <x v="20"/>
    </i>
    <i r="1">
      <x v="21"/>
    </i>
    <i r="1">
      <x v="24"/>
    </i>
    <i r="1">
      <x v="28"/>
    </i>
    <i r="1">
      <x v="29"/>
    </i>
    <i r="1">
      <x v="32"/>
    </i>
    <i r="1">
      <x v="36"/>
    </i>
    <i r="1">
      <x v="37"/>
    </i>
    <i r="1">
      <x v="40"/>
    </i>
    <i r="1">
      <x v="44"/>
    </i>
    <i r="1">
      <x v="45"/>
    </i>
    <i>
      <x v="1"/>
    </i>
    <i r="1">
      <x v="1"/>
    </i>
    <i r="1">
      <x v="6"/>
    </i>
    <i r="1">
      <x v="7"/>
    </i>
    <i r="1">
      <x v="9"/>
    </i>
    <i r="1">
      <x v="14"/>
    </i>
    <i r="1">
      <x v="15"/>
    </i>
    <i r="1">
      <x v="17"/>
    </i>
    <i r="1">
      <x v="22"/>
    </i>
    <i r="1">
      <x v="23"/>
    </i>
    <i r="1">
      <x v="25"/>
    </i>
    <i r="1">
      <x v="30"/>
    </i>
    <i r="1">
      <x v="31"/>
    </i>
    <i r="1">
      <x v="33"/>
    </i>
    <i r="1">
      <x v="38"/>
    </i>
    <i r="1">
      <x v="39"/>
    </i>
    <i r="1">
      <x v="41"/>
    </i>
    <i r="1">
      <x v="46"/>
    </i>
    <i r="1">
      <x v="47"/>
    </i>
    <i>
      <x v="2"/>
    </i>
    <i r="1">
      <x v="2"/>
    </i>
    <i r="1">
      <x v="10"/>
    </i>
    <i r="1">
      <x v="18"/>
    </i>
    <i r="1">
      <x v="26"/>
    </i>
    <i r="1">
      <x v="34"/>
    </i>
    <i r="1">
      <x v="42"/>
    </i>
    <i r="1">
      <x v="49"/>
    </i>
    <i>
      <x v="3"/>
    </i>
    <i r="1">
      <x v="3"/>
    </i>
    <i r="1">
      <x v="11"/>
    </i>
    <i r="1">
      <x v="19"/>
    </i>
    <i r="1">
      <x v="27"/>
    </i>
    <i r="1">
      <x v="35"/>
    </i>
    <i r="1">
      <x v="43"/>
    </i>
    <i r="1">
      <x v="48"/>
    </i>
    <i t="grand">
      <x/>
    </i>
  </rowItems>
  <colFields count="1">
    <field x="-2"/>
  </colFields>
  <colItems count="3">
    <i>
      <x/>
    </i>
    <i i="1">
      <x v="1"/>
    </i>
    <i i="2">
      <x v="2"/>
    </i>
  </colItems>
  <dataFields count="3">
    <dataField name="Sum of Total Bill" fld="6" baseField="0" baseItem="0"/>
    <dataField name="Sum of Food Amount" fld="5" baseField="0" baseItem="0"/>
    <dataField name="Sum of Floor No" fld="2"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50B5B15A-6F10-4A45-AC7C-7F7686B29841}" sourceName="Room Typ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_Type" xr10:uid="{052B08D7-362E-4C61-B899-E77C6097A5C3}" sourceName="Bed Type">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per_day" xr10:uid="{01D55272-70ED-4483-839B-0F7258507950}" sourceName="Price per day">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_in_Date" xr10:uid="{73D87BE7-C025-447A-A47A-A2F84CA0653F}" sourceName="Check-in-Date">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_out_date" xr10:uid="{DA43B271-863E-463E-99FA-874CE43641B7}" sourceName="Check-out-date">
  <extLst>
    <x:ext xmlns:x15="http://schemas.microsoft.com/office/spreadsheetml/2010/11/main" uri="{2F2917AC-EB37-4324-AD4E-5DD8C200BD13}">
      <x15:tableSlicerCache tableId="1" column="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of_Days" xr10:uid="{5601FAB4-EBB7-4A4E-822F-FCEB47268F39}" sourceName="No.of Days">
  <extLst>
    <x:ext xmlns:x15="http://schemas.microsoft.com/office/spreadsheetml/2010/11/main" uri="{2F2917AC-EB37-4324-AD4E-5DD8C200BD13}">
      <x15:tableSlicerCache tableId="1" column="7"/>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_Non_AC" xr10:uid="{117C4BA1-E372-4BF9-8AC8-30871A777097}" sourceName="AC/Non AC">
  <extLst>
    <x:ext xmlns:x15="http://schemas.microsoft.com/office/spreadsheetml/2010/11/main" uri="{2F2917AC-EB37-4324-AD4E-5DD8C200BD13}">
      <x15:tableSlicerCache tableId="1" column="9"/>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ID" xr10:uid="{B801D9AB-F791-40CA-85B1-0C7D0A2AE148}" sourceName="Food ID">
  <extLst>
    <x:ext xmlns:x15="http://schemas.microsoft.com/office/spreadsheetml/2010/11/main" uri="{2F2917AC-EB37-4324-AD4E-5DD8C200BD13}">
      <x15:tableSlicerCache tableId="2"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Type" xr10:uid="{CE67DC4C-CE07-4BD1-8D9B-3601563BE886}" sourceName="Food Type">
  <extLst>
    <x:ext xmlns:x15="http://schemas.microsoft.com/office/spreadsheetml/2010/11/main" uri="{2F2917AC-EB37-4324-AD4E-5DD8C200BD13}">
      <x15:tableSlicerCache tableId="2" column="2"/>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EE8B0A95-A07E-4BCA-BB29-9836A98518DC}" sourceName="Order Type">
  <extLst>
    <x:ext xmlns:x15="http://schemas.microsoft.com/office/spreadsheetml/2010/11/main" uri="{2F2917AC-EB37-4324-AD4E-5DD8C200BD13}">
      <x15:tableSlicerCache tableId="2" column="4"/>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C0E8817D-EAD1-472B-A4B3-29F18E99F708}" sourceName="Quantity">
  <extLst>
    <x:ext xmlns:x15="http://schemas.microsoft.com/office/spreadsheetml/2010/11/main" uri="{2F2917AC-EB37-4324-AD4E-5DD8C200BD13}">
      <x15:tableSlicerCache tableId="2" column="5"/>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8BDF287C-8845-4EC2-AE95-F82F76C4198A}" sourceName="Total Amount">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 Type" xr10:uid="{D1EF4E8F-49EA-44C7-93BF-2F2B67A0D85E}" cache="Slicer_Room_Type" caption="Room Type" columnCount="4" rowHeight="247650"/>
  <slicer name="Bed Type" xr10:uid="{CBA97367-5C06-4808-997A-8907A8790E32}" cache="Slicer_Bed_Type" caption="Bed Type" columnCount="4" rowHeight="247650"/>
  <slicer name="Price per day" xr10:uid="{072BD109-B733-4BB7-99C7-07B3852C8C91}" cache="Slicer_Price_per_day" caption="Price per day" columnCount="3" rowHeight="247650"/>
  <slicer name="Check-in-Date" xr10:uid="{921323CC-07F2-4467-BD1C-E7E2EB4CAE3A}" cache="Slicer_Check_in_Date" caption="Check-in-Date" columnCount="6" rowHeight="247650"/>
  <slicer name="Check-out-date" xr10:uid="{A9B8E021-F45B-450F-97DB-B5A0A4001EA1}" cache="Slicer_Check_out_date" caption="Check-out-date" columnCount="6" rowHeight="247650"/>
  <slicer name="No.of Days" xr10:uid="{FD5243AD-1C45-4A09-92D5-60ADE13AF9CC}" cache="Slicer_No.of_Days" caption="No.of Days" columnCount="3" rowHeight="247650"/>
  <slicer name="AC/Non AC" xr10:uid="{B42901AA-25E0-4C73-8D45-1FE13983A4C0}" cache="Slicer_AC_Non_AC" caption="AC/Non AC"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 ID" xr10:uid="{7672F7A2-057C-4AC8-984C-B1FD59483D93}" cache="Slicer_Food_ID" caption="Food ID" columnCount="4" rowHeight="247650"/>
  <slicer name="Food Type" xr10:uid="{B3485F5C-24B2-4A2E-B6FD-F039889E2939}" cache="Slicer_Food_Type" caption="Food Type" columnCount="2" rowHeight="247650"/>
  <slicer name="Order Type" xr10:uid="{FE7AA92D-38B4-4E86-A94E-D1E2C36A5A2F}" cache="Slicer_Order_Type" caption="Order Type" columnCount="2" rowHeight="247650"/>
  <slicer name="Quantity" xr10:uid="{563131E5-996D-47AD-BE54-F7D598D5FCCA}" cache="Slicer_Quantity" caption="Quantity" columnCount="2" rowHeight="247650"/>
  <slicer name="Total Amount" xr10:uid="{E45AF2D8-21E0-4760-8DA4-2770163000F7}" cache="Slicer_Total_Amount" caption="Total Amount"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714A67-98D7-4DDB-87E7-75D58A4DDF33}" name="Table1" displayName="Table1" ref="Q2:Y52" totalsRowShown="0" headerRowDxfId="39" headerRowBorderDxfId="38" tableBorderDxfId="37" totalsRowBorderDxfId="36">
  <autoFilter ref="Q2:Y52" xr:uid="{F8714A67-98D7-4DDB-87E7-75D58A4DDF33}"/>
  <tableColumns count="9">
    <tableColumn id="1" xr3:uid="{427ED08B-172B-402E-A27A-9D4CEEC04455}" name="Room Type" dataDxfId="35" dataCellStyle="40% - Accent3"/>
    <tableColumn id="2" xr3:uid="{623A6950-CA6E-45C1-961F-067D217F41F0}" name="Floor" dataDxfId="34" dataCellStyle="40% - Accent3"/>
    <tableColumn id="3" xr3:uid="{D8FA508D-F633-4B5C-AF8B-7CEE3AA1CC9C}" name="Bed Type" dataDxfId="33" dataCellStyle="40% - Accent3"/>
    <tableColumn id="4" xr3:uid="{63853824-949C-44E9-9CFF-C5B1545C1CF7}" name="Price per day" dataDxfId="32" dataCellStyle="40% - Accent3">
      <calculatedColumnFormula array="1">_xlfn.SWITCH(S3,"Single Bed","2000","Double Bed","4000","Queen Bed","5000","King Bed","6000")</calculatedColumnFormula>
    </tableColumn>
    <tableColumn id="5" xr3:uid="{4AAB58FA-410A-4699-9E19-A29634B098CD}" name="Check-in-Date" dataDxfId="31" dataCellStyle="40% - Accent3"/>
    <tableColumn id="6" xr3:uid="{DCDE54F0-B1D3-42A6-A7C5-56D2472CEB4A}" name="Check-out-date" dataDxfId="30" dataCellStyle="40% - Accent3"/>
    <tableColumn id="7" xr3:uid="{F2817CBA-C950-4E7C-A241-95085054A68F}" name="No.of Days" dataDxfId="29" dataCellStyle="40% - Accent3">
      <calculatedColumnFormula>V3-U3</calculatedColumnFormula>
    </tableColumn>
    <tableColumn id="8" xr3:uid="{2885DA25-E8BF-46F7-AE04-90853B7C3877}" name="Max occupancy" dataDxfId="28" dataCellStyle="40% - Accent3"/>
    <tableColumn id="9" xr3:uid="{33D67694-5A6A-468B-89A2-27AED315F7FF}" name="AC/Non AC" dataDxfId="27" dataCellStyle="40% - Accent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EB8563-8C15-4E96-B3FD-C3135416B917}" name="Table2" displayName="Table2" ref="W2:AD52" totalsRowShown="0" headerRowDxfId="26" dataDxfId="24" headerRowBorderDxfId="25" tableBorderDxfId="23" totalsRowBorderDxfId="22" dataCellStyle="20% - Accent2">
  <autoFilter ref="W2:AD52" xr:uid="{9FEB8563-8C15-4E96-B3FD-C3135416B917}"/>
  <tableColumns count="8">
    <tableColumn id="1" xr3:uid="{175BE35E-E19F-4645-B7D9-BC8A12599559}" name="Food ID" dataDxfId="21" dataCellStyle="20% - Accent2"/>
    <tableColumn id="2" xr3:uid="{66D17A5E-3025-49D5-BB75-739E54FB3916}" name="Food Type" dataDxfId="20" dataCellStyle="20% - Accent2"/>
    <tableColumn id="3" xr3:uid="{CBA0E585-8154-41D3-A3A3-E2B7C0FC0711}" name="Food Name" dataDxfId="19" dataCellStyle="20% - Accent2">
      <calculatedColumnFormula array="1">_xlfn.SWITCH(W3,"F01","Biryani","F02","Puri","F03","Mutton Biryani","F04","Mutton Soup","F05","Veg Biryani","F06","Panner Biryani","F07","Mushroom Biryani")</calculatedColumnFormula>
    </tableColumn>
    <tableColumn id="4" xr3:uid="{91B16E64-2BF3-4A78-A5CC-E92E9FB09025}" name="Order Type" dataDxfId="18" dataCellStyle="20% - Accent2"/>
    <tableColumn id="5" xr3:uid="{A3A7C54E-2402-4E21-B75F-0B8D4925D224}" name="Quantity" dataDxfId="17" dataCellStyle="20% - Accent2"/>
    <tableColumn id="6" xr3:uid="{0A6F22F6-CA26-49F6-99AB-E1209D9243AB}" name="Price" dataDxfId="16" dataCellStyle="20% - Accent2">
      <calculatedColumnFormula array="1">_xlfn.SWITCH(Z3,"DINE-IN","2000","TAKEAWAY","1000")</calculatedColumnFormula>
    </tableColumn>
    <tableColumn id="7" xr3:uid="{D093BF7C-88B2-4EE4-812C-E3EE06C30633}" name="Total Amount" dataDxfId="15" dataCellStyle="20% - Accent2">
      <calculatedColumnFormula>AA3*AB3</calculatedColumnFormula>
    </tableColumn>
    <tableColumn id="8" xr3:uid="{23DE8471-B41B-48C6-AE87-C7358E2AF61C}" name="Order Date" dataDxfId="14" dataCellStyle="20% - Accent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2.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80CA9-EB4D-4AEE-A411-DCF0F3BC701E}">
  <sheetPr>
    <tabColor theme="1" tint="4.9989318521683403E-2"/>
  </sheetPr>
  <dimension ref="A1:V53"/>
  <sheetViews>
    <sheetView showGridLines="0" tabSelected="1" workbookViewId="0">
      <selection activeCell="K9" sqref="K9"/>
    </sheetView>
  </sheetViews>
  <sheetFormatPr defaultRowHeight="14.4" x14ac:dyDescent="0.3"/>
  <cols>
    <col min="2" max="2" width="10.88671875" bestFit="1" customWidth="1"/>
    <col min="3" max="3" width="10.109375" bestFit="1" customWidth="1"/>
    <col min="4" max="4" width="9.77734375" bestFit="1" customWidth="1"/>
    <col min="5" max="5" width="17" bestFit="1" customWidth="1"/>
    <col min="6" max="6" width="31.77734375" bestFit="1" customWidth="1"/>
    <col min="7" max="7" width="13.33203125" bestFit="1" customWidth="1"/>
    <col min="8" max="8" width="7" bestFit="1" customWidth="1"/>
    <col min="9" max="9" width="10.33203125" bestFit="1" customWidth="1"/>
    <col min="10" max="10" width="3" bestFit="1" customWidth="1"/>
    <col min="11" max="11" width="9.44140625" bestFit="1" customWidth="1"/>
    <col min="12" max="12" width="12" bestFit="1" customWidth="1"/>
    <col min="13" max="13" width="15.21875" bestFit="1" customWidth="1"/>
    <col min="14" max="14" width="18.77734375" bestFit="1" customWidth="1"/>
    <col min="15" max="15" width="12.5546875" bestFit="1" customWidth="1"/>
    <col min="16" max="16" width="13.88671875" bestFit="1" customWidth="1"/>
    <col min="17" max="17" width="20.44140625" bestFit="1" customWidth="1"/>
    <col min="18" max="18" width="27.88671875" bestFit="1" customWidth="1"/>
  </cols>
  <sheetData>
    <row r="1" spans="1:22" ht="93.6" customHeight="1" thickBot="1" x14ac:dyDescent="0.35">
      <c r="A1" s="41"/>
      <c r="B1" s="41"/>
      <c r="C1" s="41"/>
      <c r="D1" s="41"/>
      <c r="E1" s="41"/>
      <c r="F1" s="41"/>
      <c r="G1" s="41"/>
      <c r="H1" s="41"/>
      <c r="I1" s="41"/>
      <c r="J1" s="41"/>
      <c r="K1" s="41"/>
      <c r="L1" s="41"/>
      <c r="M1" s="41"/>
      <c r="N1" s="41"/>
      <c r="O1" s="41"/>
      <c r="P1" s="41"/>
      <c r="Q1" s="41"/>
      <c r="R1" s="41"/>
      <c r="S1" s="41"/>
      <c r="T1" s="41"/>
      <c r="U1" s="41"/>
      <c r="V1" s="41"/>
    </row>
    <row r="2" spans="1:22" ht="15.6" thickTop="1" thickBot="1" x14ac:dyDescent="0.35">
      <c r="A2" s="39" t="s">
        <v>404</v>
      </c>
      <c r="B2" s="39"/>
      <c r="C2" s="39"/>
      <c r="D2" s="39"/>
      <c r="E2" s="39"/>
      <c r="F2" s="39"/>
      <c r="G2" s="39"/>
      <c r="H2" s="39"/>
      <c r="I2" s="39"/>
      <c r="J2" s="39"/>
      <c r="K2" s="39"/>
      <c r="L2" s="40"/>
      <c r="M2" s="42" t="s">
        <v>15</v>
      </c>
      <c r="N2" s="42"/>
      <c r="O2" s="42"/>
      <c r="P2" s="42"/>
      <c r="Q2" s="42"/>
      <c r="R2" s="42"/>
    </row>
    <row r="3" spans="1:22" ht="15" thickTop="1" x14ac:dyDescent="0.3">
      <c r="A3" s="3" t="s">
        <v>16</v>
      </c>
      <c r="B3" s="3" t="s">
        <v>4</v>
      </c>
      <c r="C3" s="3" t="s">
        <v>0</v>
      </c>
      <c r="D3" s="3" t="s">
        <v>1</v>
      </c>
      <c r="E3" s="3" t="s">
        <v>2</v>
      </c>
      <c r="F3" s="3" t="s">
        <v>5</v>
      </c>
      <c r="G3" s="3" t="s">
        <v>6</v>
      </c>
      <c r="H3" s="3" t="s">
        <v>9</v>
      </c>
      <c r="I3" s="3" t="s">
        <v>3</v>
      </c>
      <c r="J3" s="3" t="s">
        <v>10</v>
      </c>
      <c r="K3" s="3" t="s">
        <v>7</v>
      </c>
      <c r="L3" s="3" t="s">
        <v>8</v>
      </c>
      <c r="M3" s="3" t="s">
        <v>12</v>
      </c>
      <c r="N3" s="3" t="s">
        <v>11</v>
      </c>
      <c r="O3" s="3" t="s">
        <v>13</v>
      </c>
      <c r="P3" s="3" t="s">
        <v>14</v>
      </c>
      <c r="Q3" s="3" t="s">
        <v>363</v>
      </c>
      <c r="R3" s="3" t="s">
        <v>364</v>
      </c>
    </row>
    <row r="4" spans="1:22" x14ac:dyDescent="0.3">
      <c r="A4" s="5">
        <v>1</v>
      </c>
      <c r="B4" s="5" t="s">
        <v>39</v>
      </c>
      <c r="C4" s="5" t="s">
        <v>139</v>
      </c>
      <c r="D4" s="5" t="s">
        <v>140</v>
      </c>
      <c r="E4" s="5" t="str">
        <f>_xlfn.CONCAT(C4,D4)</f>
        <v>MadhuSree</v>
      </c>
      <c r="F4" s="5" t="str">
        <f>_xlfn.CONCAT(E4,"C001@gmail.com")</f>
        <v>MadhuSreeC001@gmail.com</v>
      </c>
      <c r="G4" s="5">
        <v>6301832404</v>
      </c>
      <c r="H4" s="5" t="s">
        <v>141</v>
      </c>
      <c r="I4" s="6">
        <v>38461</v>
      </c>
      <c r="J4" s="5">
        <f ca="1">DATEDIF(I4,TODAY(),"Y")</f>
        <v>21</v>
      </c>
      <c r="K4" s="5" t="s">
        <v>142</v>
      </c>
      <c r="L4" s="7">
        <v>63210458387</v>
      </c>
      <c r="M4" s="5">
        <v>501</v>
      </c>
      <c r="N4" s="5" t="s">
        <v>143</v>
      </c>
      <c r="O4" s="5" t="s">
        <v>144</v>
      </c>
      <c r="P4" s="5" t="s">
        <v>145</v>
      </c>
      <c r="Q4" s="5" t="s">
        <v>146</v>
      </c>
      <c r="R4" s="7" t="s">
        <v>365</v>
      </c>
    </row>
    <row r="5" spans="1:22" x14ac:dyDescent="0.3">
      <c r="A5" s="5">
        <v>2</v>
      </c>
      <c r="B5" s="5" t="s">
        <v>40</v>
      </c>
      <c r="C5" s="5" t="s">
        <v>271</v>
      </c>
      <c r="D5" s="5" t="s">
        <v>272</v>
      </c>
      <c r="E5" s="5" t="str">
        <f t="shared" ref="E5:E53" si="0">_xlfn.CONCAT(C5,D5)</f>
        <v>DivyaChandrika</v>
      </c>
      <c r="F5" s="5" t="str">
        <f>_xlfn.CONCAT(E5,"C002@gmail.com")</f>
        <v>DivyaChandrikaC002@gmail.com</v>
      </c>
      <c r="G5" s="5">
        <v>9502991554</v>
      </c>
      <c r="H5" s="5" t="s">
        <v>141</v>
      </c>
      <c r="I5" s="8">
        <v>37877</v>
      </c>
      <c r="J5" s="5">
        <f t="shared" ref="J5:J53" ca="1" si="1">DATEDIF(I5,TODAY(),"Y")</f>
        <v>22</v>
      </c>
      <c r="K5" s="7" t="s">
        <v>142</v>
      </c>
      <c r="L5" s="7">
        <v>96541238078</v>
      </c>
      <c r="M5" s="5">
        <v>111</v>
      </c>
      <c r="N5" s="5" t="s">
        <v>341</v>
      </c>
      <c r="O5" s="5" t="s">
        <v>144</v>
      </c>
      <c r="P5" s="5" t="s">
        <v>145</v>
      </c>
      <c r="Q5" s="5" t="s">
        <v>342</v>
      </c>
      <c r="R5" s="5" t="s">
        <v>343</v>
      </c>
    </row>
    <row r="6" spans="1:22" x14ac:dyDescent="0.3">
      <c r="A6" s="5">
        <v>3</v>
      </c>
      <c r="B6" s="5" t="s">
        <v>41</v>
      </c>
      <c r="C6" s="5" t="s">
        <v>273</v>
      </c>
      <c r="D6" s="5" t="s">
        <v>140</v>
      </c>
      <c r="E6" s="5" t="str">
        <f t="shared" si="0"/>
        <v>Hima Sree</v>
      </c>
      <c r="F6" s="5" t="str">
        <f>_xlfn.CONCAT(E6,"C003@gmail.com")</f>
        <v>Hima SreeC003@gmail.com</v>
      </c>
      <c r="G6" s="5">
        <v>9712358642</v>
      </c>
      <c r="H6" s="5" t="s">
        <v>141</v>
      </c>
      <c r="I6" s="8">
        <v>38209</v>
      </c>
      <c r="J6" s="5">
        <f t="shared" ca="1" si="1"/>
        <v>21</v>
      </c>
      <c r="K6" s="7" t="s">
        <v>332</v>
      </c>
      <c r="L6" s="7" t="s">
        <v>333</v>
      </c>
      <c r="M6" s="5">
        <v>101</v>
      </c>
      <c r="N6" s="5" t="s">
        <v>344</v>
      </c>
      <c r="O6" s="5" t="s">
        <v>144</v>
      </c>
      <c r="P6" s="5" t="s">
        <v>145</v>
      </c>
      <c r="Q6" s="5" t="s">
        <v>345</v>
      </c>
      <c r="R6" s="5" t="s">
        <v>346</v>
      </c>
    </row>
    <row r="7" spans="1:22" x14ac:dyDescent="0.3">
      <c r="A7" s="5">
        <v>4</v>
      </c>
      <c r="B7" s="5" t="s">
        <v>42</v>
      </c>
      <c r="C7" s="5" t="s">
        <v>139</v>
      </c>
      <c r="D7" s="5" t="s">
        <v>274</v>
      </c>
      <c r="E7" s="5" t="str">
        <f t="shared" si="0"/>
        <v>MadhuPriya</v>
      </c>
      <c r="F7" s="5" t="str">
        <f>_xlfn.CONCAT(E7,"C004@gmail.com")</f>
        <v>MadhuPriyaC004@gmail.com</v>
      </c>
      <c r="G7" s="5">
        <v>9652343124</v>
      </c>
      <c r="H7" s="5" t="s">
        <v>141</v>
      </c>
      <c r="I7" s="8">
        <v>38018</v>
      </c>
      <c r="J7" s="5">
        <f t="shared" ca="1" si="1"/>
        <v>22</v>
      </c>
      <c r="K7" s="7" t="s">
        <v>142</v>
      </c>
      <c r="L7" s="7">
        <v>63210458387</v>
      </c>
      <c r="M7" s="5">
        <v>123</v>
      </c>
      <c r="N7" s="5" t="s">
        <v>347</v>
      </c>
      <c r="O7" s="5" t="s">
        <v>144</v>
      </c>
      <c r="P7" s="5" t="s">
        <v>145</v>
      </c>
      <c r="Q7" s="5" t="s">
        <v>348</v>
      </c>
      <c r="R7" s="5" t="s">
        <v>349</v>
      </c>
    </row>
    <row r="8" spans="1:22" x14ac:dyDescent="0.3">
      <c r="A8" s="5">
        <v>5</v>
      </c>
      <c r="B8" s="5" t="s">
        <v>43</v>
      </c>
      <c r="C8" s="5" t="s">
        <v>275</v>
      </c>
      <c r="D8" s="5" t="s">
        <v>274</v>
      </c>
      <c r="E8" s="5" t="str">
        <f t="shared" si="0"/>
        <v>Vishnu Priya</v>
      </c>
      <c r="F8" s="5" t="str">
        <f>_xlfn.CONCAT(E8,"C005@gmail.com")</f>
        <v>Vishnu PriyaC005@gmail.com</v>
      </c>
      <c r="G8" s="5">
        <v>8897662119</v>
      </c>
      <c r="H8" s="5" t="s">
        <v>141</v>
      </c>
      <c r="I8" s="8">
        <v>37410</v>
      </c>
      <c r="J8" s="5">
        <f t="shared" ca="1" si="1"/>
        <v>23</v>
      </c>
      <c r="K8" s="7" t="s">
        <v>142</v>
      </c>
      <c r="L8" s="7">
        <v>96541238078</v>
      </c>
      <c r="M8" s="5">
        <v>147</v>
      </c>
      <c r="N8" s="5" t="s">
        <v>350</v>
      </c>
      <c r="O8" s="5" t="s">
        <v>144</v>
      </c>
      <c r="P8" s="5" t="s">
        <v>145</v>
      </c>
      <c r="Q8" s="5" t="s">
        <v>351</v>
      </c>
      <c r="R8" s="5" t="s">
        <v>352</v>
      </c>
    </row>
    <row r="9" spans="1:22" x14ac:dyDescent="0.3">
      <c r="A9" s="5">
        <v>6</v>
      </c>
      <c r="B9" s="5" t="s">
        <v>44</v>
      </c>
      <c r="C9" s="5" t="s">
        <v>276</v>
      </c>
      <c r="D9" s="5" t="s">
        <v>140</v>
      </c>
      <c r="E9" s="5" t="str">
        <f t="shared" si="0"/>
        <v>JayaSree</v>
      </c>
      <c r="F9" s="5" t="str">
        <f>_xlfn.CONCAT(E9,"C006@gmail.com")</f>
        <v>JayaSreeC006@gmail.com</v>
      </c>
      <c r="G9" s="5">
        <v>6302449968</v>
      </c>
      <c r="H9" s="5" t="s">
        <v>141</v>
      </c>
      <c r="I9" s="8">
        <v>37358</v>
      </c>
      <c r="J9" s="5">
        <f t="shared" ca="1" si="1"/>
        <v>24</v>
      </c>
      <c r="K9" s="7" t="s">
        <v>332</v>
      </c>
      <c r="L9" s="7" t="s">
        <v>335</v>
      </c>
      <c r="M9" s="5">
        <v>851</v>
      </c>
      <c r="N9" s="5" t="s">
        <v>353</v>
      </c>
      <c r="O9" s="5" t="s">
        <v>144</v>
      </c>
      <c r="P9" s="5" t="s">
        <v>145</v>
      </c>
      <c r="Q9" s="5" t="s">
        <v>146</v>
      </c>
      <c r="R9" s="5" t="s">
        <v>343</v>
      </c>
    </row>
    <row r="10" spans="1:22" x14ac:dyDescent="0.3">
      <c r="A10" s="5">
        <v>7</v>
      </c>
      <c r="B10" s="5" t="s">
        <v>45</v>
      </c>
      <c r="C10" s="5" t="s">
        <v>277</v>
      </c>
      <c r="D10" s="5" t="s">
        <v>278</v>
      </c>
      <c r="E10" s="5" t="str">
        <f t="shared" si="0"/>
        <v>AshokKumar</v>
      </c>
      <c r="F10" s="5" t="str">
        <f>_xlfn.CONCAT(E10,"C007@gmail.com")</f>
        <v>AshokKumarC007@gmail.com</v>
      </c>
      <c r="G10" s="5">
        <v>8302448877</v>
      </c>
      <c r="H10" s="5" t="s">
        <v>331</v>
      </c>
      <c r="I10" s="8">
        <v>38488</v>
      </c>
      <c r="J10" s="5">
        <f t="shared" ca="1" si="1"/>
        <v>21</v>
      </c>
      <c r="K10" s="7" t="s">
        <v>332</v>
      </c>
      <c r="L10" s="7" t="s">
        <v>336</v>
      </c>
      <c r="M10" s="5">
        <v>324</v>
      </c>
      <c r="N10" s="5" t="s">
        <v>354</v>
      </c>
      <c r="O10" s="5" t="s">
        <v>144</v>
      </c>
      <c r="P10" s="5" t="s">
        <v>145</v>
      </c>
      <c r="Q10" s="5" t="s">
        <v>342</v>
      </c>
      <c r="R10" s="5" t="s">
        <v>355</v>
      </c>
    </row>
    <row r="11" spans="1:22" x14ac:dyDescent="0.3">
      <c r="A11" s="5">
        <v>8</v>
      </c>
      <c r="B11" s="5" t="s">
        <v>46</v>
      </c>
      <c r="C11" s="5" t="s">
        <v>279</v>
      </c>
      <c r="D11" s="5" t="s">
        <v>280</v>
      </c>
      <c r="E11" s="5" t="str">
        <f t="shared" si="0"/>
        <v>UdaySimha</v>
      </c>
      <c r="F11" s="5" t="str">
        <f>_xlfn.CONCAT(E11,"C008@gmail.com")</f>
        <v>UdaySimhaC008@gmail.com</v>
      </c>
      <c r="G11" s="5">
        <v>6501328746</v>
      </c>
      <c r="H11" s="5" t="s">
        <v>331</v>
      </c>
      <c r="I11" s="8">
        <v>37517</v>
      </c>
      <c r="J11" s="5">
        <f t="shared" ca="1" si="1"/>
        <v>23</v>
      </c>
      <c r="K11" s="5" t="s">
        <v>142</v>
      </c>
      <c r="L11" s="7">
        <v>63210458387</v>
      </c>
      <c r="M11" s="5">
        <v>101</v>
      </c>
      <c r="N11" s="5" t="s">
        <v>356</v>
      </c>
      <c r="O11" s="5" t="s">
        <v>144</v>
      </c>
      <c r="P11" s="5" t="s">
        <v>145</v>
      </c>
      <c r="Q11" s="5" t="s">
        <v>357</v>
      </c>
      <c r="R11" s="5" t="s">
        <v>358</v>
      </c>
    </row>
    <row r="12" spans="1:22" x14ac:dyDescent="0.3">
      <c r="A12" s="5">
        <v>9</v>
      </c>
      <c r="B12" s="5" t="s">
        <v>47</v>
      </c>
      <c r="C12" s="5" t="s">
        <v>280</v>
      </c>
      <c r="D12" s="5" t="s">
        <v>274</v>
      </c>
      <c r="E12" s="5" t="str">
        <f t="shared" si="0"/>
        <v>SimhaPriya</v>
      </c>
      <c r="F12" s="5" t="str">
        <f>_xlfn.CONCAT(E12,"C009@gmail.com")</f>
        <v>SimhaPriyaC009@gmail.com</v>
      </c>
      <c r="G12" s="5">
        <v>9985132546</v>
      </c>
      <c r="H12" s="5" t="s">
        <v>141</v>
      </c>
      <c r="I12" s="8">
        <v>36892</v>
      </c>
      <c r="J12" s="5">
        <f t="shared" ca="1" si="1"/>
        <v>25</v>
      </c>
      <c r="K12" s="7" t="s">
        <v>142</v>
      </c>
      <c r="L12" s="7">
        <v>96541238078</v>
      </c>
      <c r="M12" s="5">
        <v>107</v>
      </c>
      <c r="N12" s="5" t="s">
        <v>347</v>
      </c>
      <c r="O12" s="5" t="s">
        <v>144</v>
      </c>
      <c r="P12" s="5" t="s">
        <v>145</v>
      </c>
      <c r="Q12" s="5" t="s">
        <v>359</v>
      </c>
      <c r="R12" s="5" t="s">
        <v>349</v>
      </c>
    </row>
    <row r="13" spans="1:22" x14ac:dyDescent="0.3">
      <c r="A13" s="5">
        <v>10</v>
      </c>
      <c r="B13" s="5" t="s">
        <v>48</v>
      </c>
      <c r="C13" s="5" t="s">
        <v>281</v>
      </c>
      <c r="D13" s="5" t="s">
        <v>282</v>
      </c>
      <c r="E13" s="5" t="str">
        <f t="shared" si="0"/>
        <v>RupaNandhini</v>
      </c>
      <c r="F13" s="5" t="str">
        <f>_xlfn.CONCAT(E13,"C010@gmail.com")</f>
        <v>RupaNandhiniC010@gmail.com</v>
      </c>
      <c r="G13" s="5">
        <v>9876523344</v>
      </c>
      <c r="H13" s="5" t="s">
        <v>141</v>
      </c>
      <c r="I13" s="8">
        <v>38234</v>
      </c>
      <c r="J13" s="5">
        <f t="shared" ca="1" si="1"/>
        <v>21</v>
      </c>
      <c r="K13" s="7" t="s">
        <v>332</v>
      </c>
      <c r="L13" s="7" t="s">
        <v>338</v>
      </c>
      <c r="M13" s="5">
        <v>122</v>
      </c>
      <c r="N13" s="5" t="s">
        <v>360</v>
      </c>
      <c r="O13" s="5" t="s">
        <v>144</v>
      </c>
      <c r="P13" s="5" t="s">
        <v>145</v>
      </c>
      <c r="Q13" s="5" t="s">
        <v>351</v>
      </c>
      <c r="R13" s="5" t="s">
        <v>361</v>
      </c>
    </row>
    <row r="14" spans="1:22" x14ac:dyDescent="0.3">
      <c r="A14" s="5">
        <v>11</v>
      </c>
      <c r="B14" s="5" t="s">
        <v>49</v>
      </c>
      <c r="C14" s="5" t="s">
        <v>283</v>
      </c>
      <c r="D14" s="5" t="s">
        <v>284</v>
      </c>
      <c r="E14" s="5" t="str">
        <f t="shared" si="0"/>
        <v>BhuvanSai</v>
      </c>
      <c r="F14" s="5" t="str">
        <f>_xlfn.CONCAT(E14,"C011@gmail.com")</f>
        <v>BhuvanSaiC011@gmail.com</v>
      </c>
      <c r="G14" s="5">
        <v>6301832404</v>
      </c>
      <c r="H14" s="5" t="s">
        <v>331</v>
      </c>
      <c r="I14" s="8">
        <v>38022</v>
      </c>
      <c r="J14" s="5">
        <f t="shared" ca="1" si="1"/>
        <v>22</v>
      </c>
      <c r="K14" s="7" t="s">
        <v>142</v>
      </c>
      <c r="L14" s="7">
        <v>98745612309</v>
      </c>
      <c r="M14" s="5">
        <v>501</v>
      </c>
      <c r="N14" s="5" t="s">
        <v>143</v>
      </c>
      <c r="O14" s="5" t="s">
        <v>144</v>
      </c>
      <c r="P14" s="5" t="s">
        <v>145</v>
      </c>
      <c r="Q14" s="5" t="s">
        <v>146</v>
      </c>
      <c r="R14" s="5" t="s">
        <v>362</v>
      </c>
    </row>
    <row r="15" spans="1:22" x14ac:dyDescent="0.3">
      <c r="A15" s="5">
        <v>12</v>
      </c>
      <c r="B15" s="5" t="s">
        <v>50</v>
      </c>
      <c r="C15" s="5" t="s">
        <v>284</v>
      </c>
      <c r="D15" s="5" t="s">
        <v>285</v>
      </c>
      <c r="E15" s="5" t="str">
        <f t="shared" si="0"/>
        <v>SaiKiran</v>
      </c>
      <c r="F15" s="5" t="str">
        <f>_xlfn.CONCAT(E15,"C012@gmail.com")</f>
        <v>SaiKiranC012@gmail.com</v>
      </c>
      <c r="G15" s="5">
        <v>9502991554</v>
      </c>
      <c r="H15" s="5" t="s">
        <v>331</v>
      </c>
      <c r="I15" s="8">
        <v>38666</v>
      </c>
      <c r="J15" s="5">
        <f t="shared" ca="1" si="1"/>
        <v>20</v>
      </c>
      <c r="K15" s="7" t="s">
        <v>142</v>
      </c>
      <c r="L15" s="7">
        <v>96541238078</v>
      </c>
      <c r="M15" s="5">
        <v>111</v>
      </c>
      <c r="N15" s="5" t="s">
        <v>341</v>
      </c>
      <c r="O15" s="5" t="s">
        <v>144</v>
      </c>
      <c r="P15" s="5" t="s">
        <v>145</v>
      </c>
      <c r="Q15" s="5" t="s">
        <v>342</v>
      </c>
      <c r="R15" s="5" t="s">
        <v>343</v>
      </c>
    </row>
    <row r="16" spans="1:22" x14ac:dyDescent="0.3">
      <c r="A16" s="5">
        <v>13</v>
      </c>
      <c r="B16" s="5" t="s">
        <v>51</v>
      </c>
      <c r="C16" s="5" t="s">
        <v>284</v>
      </c>
      <c r="D16" s="5" t="s">
        <v>286</v>
      </c>
      <c r="E16" s="5" t="str">
        <f t="shared" si="0"/>
        <v>SaiSowjanya</v>
      </c>
      <c r="F16" s="5" t="str">
        <f>_xlfn.CONCAT(E16,"C013@gmail.com")</f>
        <v>SaiSowjanyaC013@gmail.com</v>
      </c>
      <c r="G16" s="5">
        <v>9712358642</v>
      </c>
      <c r="H16" s="5" t="s">
        <v>141</v>
      </c>
      <c r="I16" s="8">
        <v>38825</v>
      </c>
      <c r="J16" s="5">
        <f t="shared" ca="1" si="1"/>
        <v>20</v>
      </c>
      <c r="K16" s="7" t="s">
        <v>332</v>
      </c>
      <c r="L16" s="7" t="s">
        <v>333</v>
      </c>
      <c r="M16" s="5">
        <v>101</v>
      </c>
      <c r="N16" s="5" t="s">
        <v>344</v>
      </c>
      <c r="O16" s="5" t="s">
        <v>144</v>
      </c>
      <c r="P16" s="5" t="s">
        <v>145</v>
      </c>
      <c r="Q16" s="5" t="s">
        <v>345</v>
      </c>
      <c r="R16" s="5" t="s">
        <v>346</v>
      </c>
    </row>
    <row r="17" spans="1:18" x14ac:dyDescent="0.3">
      <c r="A17" s="5">
        <v>14</v>
      </c>
      <c r="B17" s="5" t="s">
        <v>52</v>
      </c>
      <c r="C17" s="5" t="s">
        <v>287</v>
      </c>
      <c r="D17" s="5" t="s">
        <v>140</v>
      </c>
      <c r="E17" s="5" t="str">
        <f t="shared" si="0"/>
        <v>GnanaSree</v>
      </c>
      <c r="F17" s="5" t="str">
        <f>_xlfn.CONCAT(E17,"C014@gmail.com")</f>
        <v>GnanaSreeC014@gmail.com</v>
      </c>
      <c r="G17" s="5">
        <v>9652343124</v>
      </c>
      <c r="H17" s="5" t="s">
        <v>141</v>
      </c>
      <c r="I17" s="8">
        <v>37088</v>
      </c>
      <c r="J17" s="5">
        <f t="shared" ca="1" si="1"/>
        <v>24</v>
      </c>
      <c r="K17" s="7" t="s">
        <v>332</v>
      </c>
      <c r="L17" s="7" t="s">
        <v>334</v>
      </c>
      <c r="M17" s="5">
        <v>123</v>
      </c>
      <c r="N17" s="5" t="s">
        <v>347</v>
      </c>
      <c r="O17" s="5" t="s">
        <v>144</v>
      </c>
      <c r="P17" s="5" t="s">
        <v>145</v>
      </c>
      <c r="Q17" s="5" t="s">
        <v>348</v>
      </c>
      <c r="R17" s="5" t="s">
        <v>349</v>
      </c>
    </row>
    <row r="18" spans="1:18" x14ac:dyDescent="0.3">
      <c r="A18" s="5">
        <v>15</v>
      </c>
      <c r="B18" s="5" t="s">
        <v>53</v>
      </c>
      <c r="C18" s="5" t="s">
        <v>288</v>
      </c>
      <c r="D18" s="5" t="s">
        <v>140</v>
      </c>
      <c r="E18" s="5" t="str">
        <f t="shared" si="0"/>
        <v>ChandhanaSree</v>
      </c>
      <c r="F18" s="5" t="str">
        <f>_xlfn.CONCAT(E18,"C015@gmail.com")</f>
        <v>ChandhanaSreeC015@gmail.com</v>
      </c>
      <c r="G18" s="5">
        <v>8897662119</v>
      </c>
      <c r="H18" s="5" t="s">
        <v>141</v>
      </c>
      <c r="I18" s="8">
        <v>37511</v>
      </c>
      <c r="J18" s="5">
        <f t="shared" ca="1" si="1"/>
        <v>23</v>
      </c>
      <c r="K18" s="5" t="s">
        <v>142</v>
      </c>
      <c r="L18" s="7">
        <v>63210458387</v>
      </c>
      <c r="M18" s="5">
        <v>147</v>
      </c>
      <c r="N18" s="5" t="s">
        <v>350</v>
      </c>
      <c r="O18" s="5" t="s">
        <v>144</v>
      </c>
      <c r="P18" s="5" t="s">
        <v>145</v>
      </c>
      <c r="Q18" s="5" t="s">
        <v>351</v>
      </c>
      <c r="R18" s="5" t="s">
        <v>352</v>
      </c>
    </row>
    <row r="19" spans="1:18" x14ac:dyDescent="0.3">
      <c r="A19" s="5">
        <v>16</v>
      </c>
      <c r="B19" s="5" t="s">
        <v>54</v>
      </c>
      <c r="C19" s="5" t="s">
        <v>289</v>
      </c>
      <c r="D19" s="5" t="s">
        <v>284</v>
      </c>
      <c r="E19" s="5" t="str">
        <f t="shared" si="0"/>
        <v>RahulSai</v>
      </c>
      <c r="F19" s="5" t="str">
        <f>_xlfn.CONCAT(E19,"C016@gmail.com")</f>
        <v>RahulSaiC016@gmail.com</v>
      </c>
      <c r="G19" s="5">
        <v>6302449968</v>
      </c>
      <c r="H19" s="5" t="s">
        <v>331</v>
      </c>
      <c r="I19" s="8">
        <v>37843</v>
      </c>
      <c r="J19" s="5">
        <f t="shared" ca="1" si="1"/>
        <v>22</v>
      </c>
      <c r="K19" s="7" t="s">
        <v>142</v>
      </c>
      <c r="L19" s="7">
        <v>96541238078</v>
      </c>
      <c r="M19" s="5">
        <v>851</v>
      </c>
      <c r="N19" s="5" t="s">
        <v>353</v>
      </c>
      <c r="O19" s="5" t="s">
        <v>144</v>
      </c>
      <c r="P19" s="5" t="s">
        <v>145</v>
      </c>
      <c r="Q19" s="5" t="s">
        <v>146</v>
      </c>
      <c r="R19" s="5" t="s">
        <v>343</v>
      </c>
    </row>
    <row r="20" spans="1:18" x14ac:dyDescent="0.3">
      <c r="A20" s="5">
        <v>17</v>
      </c>
      <c r="B20" s="5" t="s">
        <v>55</v>
      </c>
      <c r="C20" s="5" t="s">
        <v>290</v>
      </c>
      <c r="D20" s="5" t="s">
        <v>291</v>
      </c>
      <c r="E20" s="5" t="str">
        <f t="shared" si="0"/>
        <v>ViratKohili</v>
      </c>
      <c r="F20" s="5" t="str">
        <f>_xlfn.CONCAT(E20,"C017@gmail.com")</f>
        <v>ViratKohiliC017@gmail.com</v>
      </c>
      <c r="G20" s="5">
        <v>8302448877</v>
      </c>
      <c r="H20" s="5" t="s">
        <v>331</v>
      </c>
      <c r="I20" s="8">
        <v>38018</v>
      </c>
      <c r="J20" s="5">
        <f t="shared" ca="1" si="1"/>
        <v>22</v>
      </c>
      <c r="K20" s="7" t="s">
        <v>332</v>
      </c>
      <c r="L20" s="7" t="s">
        <v>339</v>
      </c>
      <c r="M20" s="5">
        <v>324</v>
      </c>
      <c r="N20" s="5" t="s">
        <v>354</v>
      </c>
      <c r="O20" s="5" t="s">
        <v>144</v>
      </c>
      <c r="P20" s="5" t="s">
        <v>145</v>
      </c>
      <c r="Q20" s="5" t="s">
        <v>342</v>
      </c>
      <c r="R20" s="5" t="s">
        <v>355</v>
      </c>
    </row>
    <row r="21" spans="1:18" x14ac:dyDescent="0.3">
      <c r="A21" s="5">
        <v>18</v>
      </c>
      <c r="B21" s="5" t="s">
        <v>56</v>
      </c>
      <c r="C21" s="5" t="s">
        <v>292</v>
      </c>
      <c r="D21" s="5" t="s">
        <v>278</v>
      </c>
      <c r="E21" s="5" t="str">
        <f t="shared" si="0"/>
        <v>PremKumar</v>
      </c>
      <c r="F21" s="5" t="str">
        <f>_xlfn.CONCAT(E21,"C018@gmail.com")</f>
        <v>PremKumarC018@gmail.com</v>
      </c>
      <c r="G21" s="5">
        <v>6501328746</v>
      </c>
      <c r="H21" s="5" t="s">
        <v>331</v>
      </c>
      <c r="I21" s="8">
        <v>38506</v>
      </c>
      <c r="J21" s="5">
        <f t="shared" ca="1" si="1"/>
        <v>20</v>
      </c>
      <c r="K21" s="7" t="s">
        <v>142</v>
      </c>
      <c r="L21" s="7">
        <v>63210458387</v>
      </c>
      <c r="M21" s="5">
        <v>101</v>
      </c>
      <c r="N21" s="5" t="s">
        <v>356</v>
      </c>
      <c r="O21" s="5" t="s">
        <v>144</v>
      </c>
      <c r="P21" s="5" t="s">
        <v>145</v>
      </c>
      <c r="Q21" s="5" t="s">
        <v>357</v>
      </c>
      <c r="R21" s="5" t="s">
        <v>358</v>
      </c>
    </row>
    <row r="22" spans="1:18" x14ac:dyDescent="0.3">
      <c r="A22" s="5">
        <v>19</v>
      </c>
      <c r="B22" s="5" t="s">
        <v>57</v>
      </c>
      <c r="C22" s="5" t="s">
        <v>293</v>
      </c>
      <c r="D22" s="5" t="s">
        <v>294</v>
      </c>
      <c r="E22" s="5" t="str">
        <f t="shared" si="0"/>
        <v>DineshReddy</v>
      </c>
      <c r="F22" s="5" t="str">
        <f>_xlfn.CONCAT(E22,"C019@gmail.com")</f>
        <v>DineshReddyC019@gmail.com</v>
      </c>
      <c r="G22" s="5">
        <v>9985132546</v>
      </c>
      <c r="H22" s="5" t="s">
        <v>331</v>
      </c>
      <c r="I22" s="8">
        <v>38454</v>
      </c>
      <c r="J22" s="5">
        <f t="shared" ca="1" si="1"/>
        <v>21</v>
      </c>
      <c r="K22" s="7" t="s">
        <v>142</v>
      </c>
      <c r="L22" s="7">
        <v>96541238078</v>
      </c>
      <c r="M22" s="5">
        <v>107</v>
      </c>
      <c r="N22" s="5" t="s">
        <v>347</v>
      </c>
      <c r="O22" s="5" t="s">
        <v>144</v>
      </c>
      <c r="P22" s="5" t="s">
        <v>145</v>
      </c>
      <c r="Q22" s="5" t="s">
        <v>359</v>
      </c>
      <c r="R22" s="5" t="s">
        <v>349</v>
      </c>
    </row>
    <row r="23" spans="1:18" x14ac:dyDescent="0.3">
      <c r="A23" s="5">
        <v>20</v>
      </c>
      <c r="B23" s="5" t="s">
        <v>58</v>
      </c>
      <c r="C23" s="5" t="s">
        <v>288</v>
      </c>
      <c r="D23" s="5" t="s">
        <v>140</v>
      </c>
      <c r="E23" s="5" t="str">
        <f t="shared" si="0"/>
        <v>ChandhanaSree</v>
      </c>
      <c r="F23" s="5" t="str">
        <f>_xlfn.CONCAT(E23,"C020@gmail.com")</f>
        <v>ChandhanaSreeC020@gmail.com</v>
      </c>
      <c r="G23" s="5">
        <v>9876523344</v>
      </c>
      <c r="H23" s="5" t="s">
        <v>141</v>
      </c>
      <c r="I23" s="8">
        <v>38853</v>
      </c>
      <c r="J23" s="5">
        <f t="shared" ca="1" si="1"/>
        <v>20</v>
      </c>
      <c r="K23" s="7" t="s">
        <v>332</v>
      </c>
      <c r="L23" s="7" t="s">
        <v>335</v>
      </c>
      <c r="M23" s="5">
        <v>122</v>
      </c>
      <c r="N23" s="5" t="s">
        <v>360</v>
      </c>
      <c r="O23" s="5" t="s">
        <v>144</v>
      </c>
      <c r="P23" s="5" t="s">
        <v>145</v>
      </c>
      <c r="Q23" s="5" t="s">
        <v>351</v>
      </c>
      <c r="R23" s="5" t="s">
        <v>361</v>
      </c>
    </row>
    <row r="24" spans="1:18" x14ac:dyDescent="0.3">
      <c r="A24" s="5">
        <v>21</v>
      </c>
      <c r="B24" s="5" t="s">
        <v>59</v>
      </c>
      <c r="C24" s="5" t="s">
        <v>274</v>
      </c>
      <c r="D24" s="5" t="s">
        <v>295</v>
      </c>
      <c r="E24" s="5" t="str">
        <f t="shared" si="0"/>
        <v>PriyaPrakash</v>
      </c>
      <c r="F24" s="5" t="str">
        <f>_xlfn.CONCAT(E24,"C0201@gmail.com")</f>
        <v>PriyaPrakashC0201@gmail.com</v>
      </c>
      <c r="G24" s="5">
        <v>6301832404</v>
      </c>
      <c r="H24" s="5" t="s">
        <v>141</v>
      </c>
      <c r="I24" s="8">
        <v>37517</v>
      </c>
      <c r="J24" s="5">
        <f t="shared" ca="1" si="1"/>
        <v>23</v>
      </c>
      <c r="K24" s="7" t="s">
        <v>332</v>
      </c>
      <c r="L24" s="7" t="s">
        <v>336</v>
      </c>
      <c r="M24" s="5">
        <v>501</v>
      </c>
      <c r="N24" s="5" t="s">
        <v>143</v>
      </c>
      <c r="O24" s="5" t="s">
        <v>144</v>
      </c>
      <c r="P24" s="5" t="s">
        <v>145</v>
      </c>
      <c r="Q24" s="5" t="s">
        <v>146</v>
      </c>
      <c r="R24" s="5" t="s">
        <v>362</v>
      </c>
    </row>
    <row r="25" spans="1:18" x14ac:dyDescent="0.3">
      <c r="A25" s="5">
        <v>22</v>
      </c>
      <c r="B25" s="5" t="s">
        <v>60</v>
      </c>
      <c r="C25" s="5" t="s">
        <v>296</v>
      </c>
      <c r="D25" s="5" t="s">
        <v>297</v>
      </c>
      <c r="E25" s="5" t="str">
        <f t="shared" si="0"/>
        <v>NadhiniRoyal</v>
      </c>
      <c r="F25" s="5" t="str">
        <f>_xlfn.CONCAT(E25,"C022@gmail.com")</f>
        <v>NadhiniRoyalC022@gmail.com</v>
      </c>
      <c r="G25" s="5">
        <v>9502991554</v>
      </c>
      <c r="H25" s="5" t="s">
        <v>141</v>
      </c>
      <c r="I25" s="8">
        <v>37622</v>
      </c>
      <c r="J25" s="5">
        <f t="shared" ca="1" si="1"/>
        <v>23</v>
      </c>
      <c r="K25" s="5" t="s">
        <v>142</v>
      </c>
      <c r="L25" s="7">
        <v>63210458387</v>
      </c>
      <c r="M25" s="5">
        <v>111</v>
      </c>
      <c r="N25" s="5" t="s">
        <v>341</v>
      </c>
      <c r="O25" s="5" t="s">
        <v>144</v>
      </c>
      <c r="P25" s="5" t="s">
        <v>145</v>
      </c>
      <c r="Q25" s="5" t="s">
        <v>342</v>
      </c>
      <c r="R25" s="5" t="s">
        <v>343</v>
      </c>
    </row>
    <row r="26" spans="1:18" x14ac:dyDescent="0.3">
      <c r="A26" s="5">
        <v>23</v>
      </c>
      <c r="B26" s="5" t="s">
        <v>61</v>
      </c>
      <c r="C26" s="5" t="s">
        <v>298</v>
      </c>
      <c r="D26" s="5" t="s">
        <v>278</v>
      </c>
      <c r="E26" s="5" t="str">
        <f t="shared" si="0"/>
        <v>NaveenKumar</v>
      </c>
      <c r="F26" s="5" t="str">
        <f>_xlfn.CONCAT(E26,"C023@gmail.com")</f>
        <v>NaveenKumarC023@gmail.com</v>
      </c>
      <c r="G26" s="5">
        <v>9712358642</v>
      </c>
      <c r="H26" s="5" t="s">
        <v>331</v>
      </c>
      <c r="I26" s="8">
        <v>38234</v>
      </c>
      <c r="J26" s="5">
        <f t="shared" ca="1" si="1"/>
        <v>21</v>
      </c>
      <c r="K26" s="7" t="s">
        <v>142</v>
      </c>
      <c r="L26" s="7">
        <v>96541238078</v>
      </c>
      <c r="M26" s="5">
        <v>101</v>
      </c>
      <c r="N26" s="5" t="s">
        <v>344</v>
      </c>
      <c r="O26" s="5" t="s">
        <v>144</v>
      </c>
      <c r="P26" s="5" t="s">
        <v>145</v>
      </c>
      <c r="Q26" s="5" t="s">
        <v>345</v>
      </c>
      <c r="R26" s="5" t="s">
        <v>346</v>
      </c>
    </row>
    <row r="27" spans="1:18" x14ac:dyDescent="0.3">
      <c r="A27" s="5">
        <v>24</v>
      </c>
      <c r="B27" s="5" t="s">
        <v>62</v>
      </c>
      <c r="C27" s="5" t="s">
        <v>299</v>
      </c>
      <c r="D27" s="5" t="s">
        <v>300</v>
      </c>
      <c r="E27" s="5" t="str">
        <f t="shared" si="0"/>
        <v>Hema Latha</v>
      </c>
      <c r="F27" s="5" t="str">
        <f>_xlfn.CONCAT(E27,"C024@gmail.com")</f>
        <v>Hema LathaC024@gmail.com</v>
      </c>
      <c r="G27" s="5">
        <v>9652343124</v>
      </c>
      <c r="H27" s="5" t="s">
        <v>141</v>
      </c>
      <c r="I27" s="8">
        <v>38388</v>
      </c>
      <c r="J27" s="5">
        <f t="shared" ca="1" si="1"/>
        <v>21</v>
      </c>
      <c r="K27" s="7" t="s">
        <v>332</v>
      </c>
      <c r="L27" s="7" t="s">
        <v>339</v>
      </c>
      <c r="M27" s="5">
        <v>123</v>
      </c>
      <c r="N27" s="5" t="s">
        <v>347</v>
      </c>
      <c r="O27" s="5" t="s">
        <v>144</v>
      </c>
      <c r="P27" s="5" t="s">
        <v>145</v>
      </c>
      <c r="Q27" s="5" t="s">
        <v>348</v>
      </c>
      <c r="R27" s="5" t="s">
        <v>349</v>
      </c>
    </row>
    <row r="28" spans="1:18" x14ac:dyDescent="0.3">
      <c r="A28" s="5">
        <v>25</v>
      </c>
      <c r="B28" s="5" t="s">
        <v>63</v>
      </c>
      <c r="C28" s="5" t="s">
        <v>301</v>
      </c>
      <c r="D28" s="5" t="s">
        <v>274</v>
      </c>
      <c r="E28" s="5" t="str">
        <f t="shared" si="0"/>
        <v>Hari Priya</v>
      </c>
      <c r="F28" s="5" t="str">
        <f>_xlfn.CONCAT(E28,"C025@gmail.com")</f>
        <v>Hari PriyaC025@gmail.com</v>
      </c>
      <c r="G28" s="5">
        <v>8897662119</v>
      </c>
      <c r="H28" s="5" t="s">
        <v>141</v>
      </c>
      <c r="I28" s="8">
        <v>37570</v>
      </c>
      <c r="J28" s="5">
        <f t="shared" ca="1" si="1"/>
        <v>23</v>
      </c>
      <c r="K28" s="7" t="s">
        <v>142</v>
      </c>
      <c r="L28" s="7">
        <v>98745612309</v>
      </c>
      <c r="M28" s="5">
        <v>147</v>
      </c>
      <c r="N28" s="5" t="s">
        <v>350</v>
      </c>
      <c r="O28" s="5" t="s">
        <v>144</v>
      </c>
      <c r="P28" s="5" t="s">
        <v>145</v>
      </c>
      <c r="Q28" s="5" t="s">
        <v>351</v>
      </c>
      <c r="R28" s="5" t="s">
        <v>352</v>
      </c>
    </row>
    <row r="29" spans="1:18" x14ac:dyDescent="0.3">
      <c r="A29" s="5">
        <v>26</v>
      </c>
      <c r="B29" s="5" t="s">
        <v>64</v>
      </c>
      <c r="C29" s="5" t="s">
        <v>276</v>
      </c>
      <c r="D29" s="5" t="s">
        <v>302</v>
      </c>
      <c r="E29" s="5" t="str">
        <f t="shared" si="0"/>
        <v>JayaLashmi</v>
      </c>
      <c r="F29" s="5" t="str">
        <f>_xlfn.CONCAT(E29,"C026@gmail.com")</f>
        <v>JayaLashmiC026@gmail.com</v>
      </c>
      <c r="G29" s="5">
        <v>6302449968</v>
      </c>
      <c r="H29" s="5" t="s">
        <v>141</v>
      </c>
      <c r="I29" s="8">
        <v>38095</v>
      </c>
      <c r="J29" s="5">
        <f t="shared" ca="1" si="1"/>
        <v>22</v>
      </c>
      <c r="K29" s="7" t="s">
        <v>142</v>
      </c>
      <c r="L29" s="7">
        <v>96541238078</v>
      </c>
      <c r="M29" s="5">
        <v>851</v>
      </c>
      <c r="N29" s="5" t="s">
        <v>353</v>
      </c>
      <c r="O29" s="5" t="s">
        <v>144</v>
      </c>
      <c r="P29" s="5" t="s">
        <v>145</v>
      </c>
      <c r="Q29" s="5" t="s">
        <v>146</v>
      </c>
      <c r="R29" s="5" t="s">
        <v>343</v>
      </c>
    </row>
    <row r="30" spans="1:18" x14ac:dyDescent="0.3">
      <c r="A30" s="5">
        <v>27</v>
      </c>
      <c r="B30" s="5" t="s">
        <v>65</v>
      </c>
      <c r="C30" s="5" t="s">
        <v>303</v>
      </c>
      <c r="D30" s="5" t="s">
        <v>274</v>
      </c>
      <c r="E30" s="5" t="str">
        <f t="shared" si="0"/>
        <v>LakshmiPriya</v>
      </c>
      <c r="F30" s="5" t="str">
        <f>_xlfn.CONCAT(E30,"C027@gmail.com")</f>
        <v>LakshmiPriyaC027@gmail.com</v>
      </c>
      <c r="G30" s="5">
        <v>8302448877</v>
      </c>
      <c r="H30" s="5" t="s">
        <v>141</v>
      </c>
      <c r="I30" s="8">
        <v>38549</v>
      </c>
      <c r="J30" s="5">
        <f t="shared" ca="1" si="1"/>
        <v>20</v>
      </c>
      <c r="K30" s="7" t="s">
        <v>332</v>
      </c>
      <c r="L30" s="7" t="s">
        <v>335</v>
      </c>
      <c r="M30" s="5">
        <v>324</v>
      </c>
      <c r="N30" s="5" t="s">
        <v>354</v>
      </c>
      <c r="O30" s="5" t="s">
        <v>144</v>
      </c>
      <c r="P30" s="5" t="s">
        <v>145</v>
      </c>
      <c r="Q30" s="5" t="s">
        <v>342</v>
      </c>
      <c r="R30" s="5" t="s">
        <v>355</v>
      </c>
    </row>
    <row r="31" spans="1:18" x14ac:dyDescent="0.3">
      <c r="A31" s="5">
        <v>28</v>
      </c>
      <c r="B31" s="5" t="s">
        <v>66</v>
      </c>
      <c r="C31" s="5" t="s">
        <v>303</v>
      </c>
      <c r="D31" s="5" t="s">
        <v>304</v>
      </c>
      <c r="E31" s="5" t="str">
        <f t="shared" si="0"/>
        <v>LakshmiDevi</v>
      </c>
      <c r="F31" s="5" t="str">
        <f>_xlfn.CONCAT(E31,"C028@gmail.com")</f>
        <v>LakshmiDeviC028@gmail.com</v>
      </c>
      <c r="G31" s="5">
        <v>6501328746</v>
      </c>
      <c r="H31" s="5" t="s">
        <v>141</v>
      </c>
      <c r="I31" s="8">
        <v>38971</v>
      </c>
      <c r="J31" s="5">
        <f t="shared" ca="1" si="1"/>
        <v>19</v>
      </c>
      <c r="K31" s="7" t="s">
        <v>332</v>
      </c>
      <c r="L31" s="7" t="s">
        <v>336</v>
      </c>
      <c r="M31" s="5">
        <v>101</v>
      </c>
      <c r="N31" s="5" t="s">
        <v>356</v>
      </c>
      <c r="O31" s="5" t="s">
        <v>144</v>
      </c>
      <c r="P31" s="5" t="s">
        <v>145</v>
      </c>
      <c r="Q31" s="5" t="s">
        <v>357</v>
      </c>
      <c r="R31" s="5" t="s">
        <v>358</v>
      </c>
    </row>
    <row r="32" spans="1:18" x14ac:dyDescent="0.3">
      <c r="A32" s="5">
        <v>29</v>
      </c>
      <c r="B32" s="5" t="s">
        <v>67</v>
      </c>
      <c r="C32" s="5" t="s">
        <v>276</v>
      </c>
      <c r="D32" s="5" t="s">
        <v>305</v>
      </c>
      <c r="E32" s="5" t="str">
        <f t="shared" si="0"/>
        <v>JayaSurya</v>
      </c>
      <c r="F32" s="5" t="str">
        <f>_xlfn.CONCAT(E32,"C029@gmail.com")</f>
        <v>JayaSuryaC029@gmail.com</v>
      </c>
      <c r="G32" s="5">
        <v>9985132546</v>
      </c>
      <c r="H32" s="5" t="s">
        <v>331</v>
      </c>
      <c r="I32" s="8">
        <v>37699</v>
      </c>
      <c r="J32" s="5">
        <f t="shared" ca="1" si="1"/>
        <v>23</v>
      </c>
      <c r="K32" s="5" t="s">
        <v>142</v>
      </c>
      <c r="L32" s="7">
        <v>63210458387</v>
      </c>
      <c r="M32" s="5">
        <v>107</v>
      </c>
      <c r="N32" s="5" t="s">
        <v>347</v>
      </c>
      <c r="O32" s="5" t="s">
        <v>144</v>
      </c>
      <c r="P32" s="5" t="s">
        <v>145</v>
      </c>
      <c r="Q32" s="5" t="s">
        <v>359</v>
      </c>
      <c r="R32" s="5" t="s">
        <v>349</v>
      </c>
    </row>
    <row r="33" spans="1:18" x14ac:dyDescent="0.3">
      <c r="A33" s="5">
        <v>30</v>
      </c>
      <c r="B33" s="5" t="s">
        <v>68</v>
      </c>
      <c r="C33" s="5" t="s">
        <v>280</v>
      </c>
      <c r="D33" s="5" t="s">
        <v>274</v>
      </c>
      <c r="E33" s="5" t="str">
        <f t="shared" si="0"/>
        <v>SimhaPriya</v>
      </c>
      <c r="F33" s="5" t="str">
        <f>_xlfn.CONCAT(E33,"C030@gmail.com")</f>
        <v>SimhaPriyaC030@gmail.com</v>
      </c>
      <c r="G33" s="5">
        <v>9876523344</v>
      </c>
      <c r="H33" s="5" t="s">
        <v>141</v>
      </c>
      <c r="I33" s="8">
        <v>38916</v>
      </c>
      <c r="J33" s="5">
        <f t="shared" ca="1" si="1"/>
        <v>19</v>
      </c>
      <c r="K33" s="7" t="s">
        <v>142</v>
      </c>
      <c r="L33" s="7">
        <v>96541238078</v>
      </c>
      <c r="M33" s="5">
        <v>122</v>
      </c>
      <c r="N33" s="5" t="s">
        <v>360</v>
      </c>
      <c r="O33" s="5" t="s">
        <v>144</v>
      </c>
      <c r="P33" s="5" t="s">
        <v>145</v>
      </c>
      <c r="Q33" s="5" t="s">
        <v>351</v>
      </c>
      <c r="R33" s="5" t="s">
        <v>361</v>
      </c>
    </row>
    <row r="34" spans="1:18" x14ac:dyDescent="0.3">
      <c r="A34" s="5">
        <v>31</v>
      </c>
      <c r="B34" s="5" t="s">
        <v>69</v>
      </c>
      <c r="C34" s="5" t="s">
        <v>306</v>
      </c>
      <c r="D34" s="5" t="s">
        <v>294</v>
      </c>
      <c r="E34" s="5" t="str">
        <f t="shared" si="0"/>
        <v>EshwarReddy</v>
      </c>
      <c r="F34" s="5" t="str">
        <f>_xlfn.CONCAT(E34,"C031@gmail.com")</f>
        <v>EshwarReddyC031@gmail.com</v>
      </c>
      <c r="G34" s="5">
        <v>6301832404</v>
      </c>
      <c r="H34" s="5" t="s">
        <v>331</v>
      </c>
      <c r="I34" s="8">
        <v>37936</v>
      </c>
      <c r="J34" s="5">
        <f t="shared" ca="1" si="1"/>
        <v>22</v>
      </c>
      <c r="K34" s="7" t="s">
        <v>332</v>
      </c>
      <c r="L34" s="7"/>
      <c r="M34" s="5">
        <v>501</v>
      </c>
      <c r="N34" s="5" t="s">
        <v>143</v>
      </c>
      <c r="O34" s="5" t="s">
        <v>144</v>
      </c>
      <c r="P34" s="5" t="s">
        <v>145</v>
      </c>
      <c r="Q34" s="5" t="s">
        <v>146</v>
      </c>
      <c r="R34" s="5" t="s">
        <v>362</v>
      </c>
    </row>
    <row r="35" spans="1:18" x14ac:dyDescent="0.3">
      <c r="A35" s="5">
        <v>32</v>
      </c>
      <c r="B35" s="5" t="s">
        <v>70</v>
      </c>
      <c r="C35" s="5" t="s">
        <v>289</v>
      </c>
      <c r="D35" s="5" t="s">
        <v>284</v>
      </c>
      <c r="E35" s="5" t="str">
        <f t="shared" si="0"/>
        <v>RahulSai</v>
      </c>
      <c r="F35" s="5" t="str">
        <f>_xlfn.CONCAT(E35,"C032@gmail.com")</f>
        <v>RahulSaiC032@gmail.com</v>
      </c>
      <c r="G35" s="5">
        <v>9502991554</v>
      </c>
      <c r="H35" s="5" t="s">
        <v>331</v>
      </c>
      <c r="I35" s="8">
        <v>38576</v>
      </c>
      <c r="J35" s="5">
        <f t="shared" ca="1" si="1"/>
        <v>20</v>
      </c>
      <c r="K35" s="7" t="s">
        <v>142</v>
      </c>
      <c r="L35" s="7">
        <v>63210458387</v>
      </c>
      <c r="M35" s="5">
        <v>111</v>
      </c>
      <c r="N35" s="5" t="s">
        <v>341</v>
      </c>
      <c r="O35" s="5" t="s">
        <v>144</v>
      </c>
      <c r="P35" s="5" t="s">
        <v>145</v>
      </c>
      <c r="Q35" s="5" t="s">
        <v>342</v>
      </c>
      <c r="R35" s="5" t="s">
        <v>343</v>
      </c>
    </row>
    <row r="36" spans="1:18" x14ac:dyDescent="0.3">
      <c r="A36" s="5">
        <v>33</v>
      </c>
      <c r="B36" s="5" t="s">
        <v>71</v>
      </c>
      <c r="C36" s="5" t="s">
        <v>307</v>
      </c>
      <c r="D36" s="5" t="s">
        <v>303</v>
      </c>
      <c r="E36" s="5" t="str">
        <f t="shared" si="0"/>
        <v>ChaitanyaLakshmi</v>
      </c>
      <c r="F36" s="5" t="str">
        <f>_xlfn.CONCAT(E36,"C033@gmail.com")</f>
        <v>ChaitanyaLakshmiC033@gmail.com</v>
      </c>
      <c r="G36" s="5">
        <v>9712358642</v>
      </c>
      <c r="H36" s="5" t="s">
        <v>141</v>
      </c>
      <c r="I36" s="8">
        <v>37517</v>
      </c>
      <c r="J36" s="5">
        <f t="shared" ca="1" si="1"/>
        <v>23</v>
      </c>
      <c r="K36" s="7" t="s">
        <v>142</v>
      </c>
      <c r="L36" s="7">
        <v>96541238078</v>
      </c>
      <c r="M36" s="5">
        <v>101</v>
      </c>
      <c r="N36" s="5" t="s">
        <v>344</v>
      </c>
      <c r="O36" s="5" t="s">
        <v>144</v>
      </c>
      <c r="P36" s="5" t="s">
        <v>145</v>
      </c>
      <c r="Q36" s="5" t="s">
        <v>345</v>
      </c>
      <c r="R36" s="5" t="s">
        <v>346</v>
      </c>
    </row>
    <row r="37" spans="1:18" x14ac:dyDescent="0.3">
      <c r="A37" s="5">
        <v>34</v>
      </c>
      <c r="B37" s="5" t="s">
        <v>72</v>
      </c>
      <c r="C37" s="5" t="s">
        <v>308</v>
      </c>
      <c r="D37" s="5" t="s">
        <v>284</v>
      </c>
      <c r="E37" s="5" t="str">
        <f t="shared" si="0"/>
        <v>SohanSai</v>
      </c>
      <c r="F37" s="5" t="str">
        <f>_xlfn.CONCAT(E37,"C034@gmail.com")</f>
        <v>SohanSaiC034@gmail.com</v>
      </c>
      <c r="G37" s="5">
        <v>9652343124</v>
      </c>
      <c r="H37" s="5" t="s">
        <v>331</v>
      </c>
      <c r="I37" s="8">
        <v>38089</v>
      </c>
      <c r="J37" s="5">
        <f t="shared" ca="1" si="1"/>
        <v>22</v>
      </c>
      <c r="K37" s="7" t="s">
        <v>332</v>
      </c>
      <c r="L37" s="7" t="s">
        <v>333</v>
      </c>
      <c r="M37" s="5">
        <v>123</v>
      </c>
      <c r="N37" s="5" t="s">
        <v>347</v>
      </c>
      <c r="O37" s="5" t="s">
        <v>144</v>
      </c>
      <c r="P37" s="5" t="s">
        <v>145</v>
      </c>
      <c r="Q37" s="5" t="s">
        <v>348</v>
      </c>
      <c r="R37" s="5" t="s">
        <v>349</v>
      </c>
    </row>
    <row r="38" spans="1:18" x14ac:dyDescent="0.3">
      <c r="A38" s="5">
        <v>35</v>
      </c>
      <c r="B38" s="5" t="s">
        <v>73</v>
      </c>
      <c r="C38" s="5" t="s">
        <v>309</v>
      </c>
      <c r="D38" s="5" t="s">
        <v>300</v>
      </c>
      <c r="E38" s="5" t="str">
        <f t="shared" si="0"/>
        <v>MadhaviLatha</v>
      </c>
      <c r="F38" s="5" t="str">
        <f>_xlfn.CONCAT(E38,"C035@gmail.com")</f>
        <v>MadhaviLathaC035@gmail.com</v>
      </c>
      <c r="G38" s="5">
        <v>8897662119</v>
      </c>
      <c r="H38" s="5" t="s">
        <v>141</v>
      </c>
      <c r="I38" s="8">
        <v>37757</v>
      </c>
      <c r="J38" s="5">
        <f t="shared" ca="1" si="1"/>
        <v>23</v>
      </c>
      <c r="K38" s="7" t="s">
        <v>332</v>
      </c>
      <c r="L38" s="7" t="s">
        <v>334</v>
      </c>
      <c r="M38" s="5">
        <v>147</v>
      </c>
      <c r="N38" s="5" t="s">
        <v>350</v>
      </c>
      <c r="O38" s="5" t="s">
        <v>144</v>
      </c>
      <c r="P38" s="5" t="s">
        <v>145</v>
      </c>
      <c r="Q38" s="5" t="s">
        <v>351</v>
      </c>
      <c r="R38" s="5" t="s">
        <v>352</v>
      </c>
    </row>
    <row r="39" spans="1:18" x14ac:dyDescent="0.3">
      <c r="A39" s="5">
        <v>36</v>
      </c>
      <c r="B39" s="5" t="s">
        <v>74</v>
      </c>
      <c r="C39" s="5" t="s">
        <v>310</v>
      </c>
      <c r="D39" s="5" t="s">
        <v>303</v>
      </c>
      <c r="E39" s="5" t="str">
        <f t="shared" si="0"/>
        <v>MahaLakshmi</v>
      </c>
      <c r="F39" s="5" t="str">
        <f>_xlfn.CONCAT(E39,"C036@gmail.com")</f>
        <v>MahaLakshmiC036@gmail.com</v>
      </c>
      <c r="G39" s="5">
        <v>6302449968</v>
      </c>
      <c r="H39" s="5" t="s">
        <v>141</v>
      </c>
      <c r="I39" s="8">
        <v>38248</v>
      </c>
      <c r="J39" s="5">
        <f t="shared" ca="1" si="1"/>
        <v>21</v>
      </c>
      <c r="K39" s="5" t="s">
        <v>142</v>
      </c>
      <c r="L39" s="7">
        <v>63210458387</v>
      </c>
      <c r="M39" s="5">
        <v>851</v>
      </c>
      <c r="N39" s="5" t="s">
        <v>353</v>
      </c>
      <c r="O39" s="5" t="s">
        <v>144</v>
      </c>
      <c r="P39" s="5" t="s">
        <v>145</v>
      </c>
      <c r="Q39" s="5" t="s">
        <v>146</v>
      </c>
      <c r="R39" s="5" t="s">
        <v>343</v>
      </c>
    </row>
    <row r="40" spans="1:18" x14ac:dyDescent="0.3">
      <c r="A40" s="5">
        <v>37</v>
      </c>
      <c r="B40" s="5" t="s">
        <v>75</v>
      </c>
      <c r="C40" s="5" t="s">
        <v>303</v>
      </c>
      <c r="D40" s="5" t="s">
        <v>140</v>
      </c>
      <c r="E40" s="5" t="str">
        <f t="shared" si="0"/>
        <v>LakshmiSree</v>
      </c>
      <c r="F40" s="5" t="str">
        <f>_xlfn.CONCAT(E40,"C037@gmail.com")</f>
        <v>LakshmiSreeC037@gmail.com</v>
      </c>
      <c r="G40" s="5">
        <v>8302448877</v>
      </c>
      <c r="H40" s="5" t="s">
        <v>141</v>
      </c>
      <c r="I40" s="8">
        <v>38353</v>
      </c>
      <c r="J40" s="5">
        <f t="shared" ca="1" si="1"/>
        <v>21</v>
      </c>
      <c r="K40" s="7" t="s">
        <v>142</v>
      </c>
      <c r="L40" s="7">
        <v>96541238078</v>
      </c>
      <c r="M40" s="5">
        <v>324</v>
      </c>
      <c r="N40" s="5" t="s">
        <v>354</v>
      </c>
      <c r="O40" s="5" t="s">
        <v>144</v>
      </c>
      <c r="P40" s="5" t="s">
        <v>145</v>
      </c>
      <c r="Q40" s="5" t="s">
        <v>342</v>
      </c>
      <c r="R40" s="5" t="s">
        <v>355</v>
      </c>
    </row>
    <row r="41" spans="1:18" x14ac:dyDescent="0.3">
      <c r="A41" s="5">
        <v>38</v>
      </c>
      <c r="B41" s="5" t="s">
        <v>76</v>
      </c>
      <c r="C41" s="5" t="s">
        <v>140</v>
      </c>
      <c r="D41" s="5" t="s">
        <v>311</v>
      </c>
      <c r="E41" s="5" t="str">
        <f t="shared" si="0"/>
        <v>Sreenivas</v>
      </c>
      <c r="F41" s="5" t="str">
        <f>_xlfn.CONCAT(E41,"C038@gmail.com")</f>
        <v>SreenivasC038@gmail.com</v>
      </c>
      <c r="G41" s="5">
        <v>6501328746</v>
      </c>
      <c r="H41" s="5" t="s">
        <v>331</v>
      </c>
      <c r="I41" s="8">
        <v>38964</v>
      </c>
      <c r="J41" s="5">
        <f t="shared" ca="1" si="1"/>
        <v>19</v>
      </c>
      <c r="K41" s="7" t="s">
        <v>332</v>
      </c>
      <c r="L41" s="7" t="s">
        <v>340</v>
      </c>
      <c r="M41" s="5">
        <v>101</v>
      </c>
      <c r="N41" s="5" t="s">
        <v>356</v>
      </c>
      <c r="O41" s="5" t="s">
        <v>144</v>
      </c>
      <c r="P41" s="5" t="s">
        <v>145</v>
      </c>
      <c r="Q41" s="5" t="s">
        <v>357</v>
      </c>
      <c r="R41" s="5" t="s">
        <v>358</v>
      </c>
    </row>
    <row r="42" spans="1:18" x14ac:dyDescent="0.3">
      <c r="A42" s="5">
        <v>39</v>
      </c>
      <c r="B42" s="5" t="s">
        <v>77</v>
      </c>
      <c r="C42" s="5" t="s">
        <v>312</v>
      </c>
      <c r="D42" s="5" t="s">
        <v>297</v>
      </c>
      <c r="E42" s="5" t="str">
        <f t="shared" si="0"/>
        <v>SupriyaRoyal</v>
      </c>
      <c r="F42" s="5" t="str">
        <f>_xlfn.CONCAT(E42,"C039@gmail.com")</f>
        <v>SupriyaRoyalC039@gmail.com</v>
      </c>
      <c r="G42" s="5">
        <v>9985132546</v>
      </c>
      <c r="H42" s="5" t="s">
        <v>141</v>
      </c>
      <c r="I42" s="8">
        <v>38388</v>
      </c>
      <c r="J42" s="5">
        <f t="shared" ca="1" si="1"/>
        <v>21</v>
      </c>
      <c r="K42" s="7" t="s">
        <v>142</v>
      </c>
      <c r="L42" s="7">
        <v>98745612309</v>
      </c>
      <c r="M42" s="5">
        <v>107</v>
      </c>
      <c r="N42" s="5" t="s">
        <v>347</v>
      </c>
      <c r="O42" s="5" t="s">
        <v>144</v>
      </c>
      <c r="P42" s="5" t="s">
        <v>145</v>
      </c>
      <c r="Q42" s="5" t="s">
        <v>359</v>
      </c>
      <c r="R42" s="5" t="s">
        <v>349</v>
      </c>
    </row>
    <row r="43" spans="1:18" x14ac:dyDescent="0.3">
      <c r="A43" s="5">
        <v>40</v>
      </c>
      <c r="B43" s="5" t="s">
        <v>78</v>
      </c>
      <c r="C43" s="5" t="s">
        <v>313</v>
      </c>
      <c r="D43" s="5" t="s">
        <v>314</v>
      </c>
      <c r="E43" s="5" t="str">
        <f t="shared" si="0"/>
        <v>NarayanaSwami</v>
      </c>
      <c r="F43" s="5" t="str">
        <f>_xlfn.CONCAT(E43,"C040@gmail.com")</f>
        <v>NarayanaSwamiC040@gmail.com</v>
      </c>
      <c r="G43" s="5">
        <v>9876523344</v>
      </c>
      <c r="H43" s="5" t="s">
        <v>331</v>
      </c>
      <c r="I43" s="8">
        <v>37935</v>
      </c>
      <c r="J43" s="5">
        <f t="shared" ca="1" si="1"/>
        <v>22</v>
      </c>
      <c r="K43" s="7" t="s">
        <v>332</v>
      </c>
      <c r="L43" s="7" t="s">
        <v>339</v>
      </c>
      <c r="M43" s="5">
        <v>122</v>
      </c>
      <c r="N43" s="5" t="s">
        <v>360</v>
      </c>
      <c r="O43" s="5" t="s">
        <v>144</v>
      </c>
      <c r="P43" s="5" t="s">
        <v>145</v>
      </c>
      <c r="Q43" s="5" t="s">
        <v>351</v>
      </c>
      <c r="R43" s="5" t="s">
        <v>361</v>
      </c>
    </row>
    <row r="44" spans="1:18" x14ac:dyDescent="0.3">
      <c r="A44" s="5">
        <v>41</v>
      </c>
      <c r="B44" s="5" t="s">
        <v>79</v>
      </c>
      <c r="C44" s="5" t="s">
        <v>315</v>
      </c>
      <c r="D44" s="5" t="s">
        <v>140</v>
      </c>
      <c r="E44" s="5" t="str">
        <f t="shared" si="0"/>
        <v>HithaSree</v>
      </c>
      <c r="F44" s="5" t="str">
        <f>_xlfn.CONCAT(E44,"C041@gmail.com")</f>
        <v>HithaSreeC041@gmail.com</v>
      </c>
      <c r="G44" s="5">
        <v>6301832404</v>
      </c>
      <c r="H44" s="5" t="s">
        <v>141</v>
      </c>
      <c r="I44" s="8">
        <v>37364</v>
      </c>
      <c r="J44" s="5">
        <f t="shared" ca="1" si="1"/>
        <v>24</v>
      </c>
      <c r="K44" s="7" t="s">
        <v>332</v>
      </c>
      <c r="L44" s="7" t="s">
        <v>337</v>
      </c>
      <c r="M44" s="5">
        <v>501</v>
      </c>
      <c r="N44" s="5" t="s">
        <v>143</v>
      </c>
      <c r="O44" s="5" t="s">
        <v>144</v>
      </c>
      <c r="P44" s="5" t="s">
        <v>145</v>
      </c>
      <c r="Q44" s="5" t="s">
        <v>146</v>
      </c>
      <c r="R44" s="5" t="s">
        <v>362</v>
      </c>
    </row>
    <row r="45" spans="1:18" x14ac:dyDescent="0.3">
      <c r="A45" s="5">
        <v>42</v>
      </c>
      <c r="B45" s="5" t="s">
        <v>80</v>
      </c>
      <c r="C45" s="5" t="s">
        <v>316</v>
      </c>
      <c r="D45" s="5" t="s">
        <v>317</v>
      </c>
      <c r="E45" s="5" t="str">
        <f t="shared" si="0"/>
        <v>PawanKalyan</v>
      </c>
      <c r="F45" s="5" t="str">
        <f>_xlfn.CONCAT(E45,"C042@gmail.com")</f>
        <v>PawanKalyanC042@gmail.com</v>
      </c>
      <c r="G45" s="5">
        <v>9502991554</v>
      </c>
      <c r="H45" s="5" t="s">
        <v>331</v>
      </c>
      <c r="I45" s="8">
        <v>38184</v>
      </c>
      <c r="J45" s="5">
        <f t="shared" ca="1" si="1"/>
        <v>21</v>
      </c>
      <c r="K45" s="7" t="s">
        <v>332</v>
      </c>
      <c r="L45" s="7" t="s">
        <v>338</v>
      </c>
      <c r="M45" s="5">
        <v>111</v>
      </c>
      <c r="N45" s="5" t="s">
        <v>341</v>
      </c>
      <c r="O45" s="5" t="s">
        <v>144</v>
      </c>
      <c r="P45" s="5" t="s">
        <v>145</v>
      </c>
      <c r="Q45" s="5" t="s">
        <v>342</v>
      </c>
      <c r="R45" s="5" t="s">
        <v>343</v>
      </c>
    </row>
    <row r="46" spans="1:18" x14ac:dyDescent="0.3">
      <c r="A46" s="5">
        <v>43</v>
      </c>
      <c r="B46" s="5" t="s">
        <v>81</v>
      </c>
      <c r="C46" s="5" t="s">
        <v>317</v>
      </c>
      <c r="D46" s="5" t="s">
        <v>318</v>
      </c>
      <c r="E46" s="5" t="str">
        <f t="shared" si="0"/>
        <v>KalyanPadala</v>
      </c>
      <c r="F46" s="5" t="str">
        <f>_xlfn.CONCAT(E46,"C043@gmail.com")</f>
        <v>KalyanPadalaC043@gmail.com</v>
      </c>
      <c r="G46" s="5">
        <v>9712358642</v>
      </c>
      <c r="H46" s="5" t="s">
        <v>331</v>
      </c>
      <c r="I46" s="8">
        <v>38606</v>
      </c>
      <c r="J46" s="5">
        <f t="shared" ca="1" si="1"/>
        <v>20</v>
      </c>
      <c r="K46" s="5" t="s">
        <v>142</v>
      </c>
      <c r="L46" s="7">
        <v>63210458387</v>
      </c>
      <c r="M46" s="5">
        <v>101</v>
      </c>
      <c r="N46" s="5" t="s">
        <v>344</v>
      </c>
      <c r="O46" s="5" t="s">
        <v>144</v>
      </c>
      <c r="P46" s="5" t="s">
        <v>145</v>
      </c>
      <c r="Q46" s="5" t="s">
        <v>345</v>
      </c>
      <c r="R46" s="5" t="s">
        <v>346</v>
      </c>
    </row>
    <row r="47" spans="1:18" x14ac:dyDescent="0.3">
      <c r="A47" s="5">
        <v>44</v>
      </c>
      <c r="B47" s="5" t="s">
        <v>82</v>
      </c>
      <c r="C47" s="5" t="s">
        <v>319</v>
      </c>
      <c r="D47" s="5" t="s">
        <v>320</v>
      </c>
      <c r="E47" s="5" t="str">
        <f t="shared" si="0"/>
        <v>SumanShetty</v>
      </c>
      <c r="F47" s="5" t="str">
        <f>_xlfn.CONCAT(E47,"C044@gmail.com")</f>
        <v>SumanShettyC044@gmail.com</v>
      </c>
      <c r="G47" s="5">
        <v>9652343124</v>
      </c>
      <c r="H47" s="5" t="s">
        <v>331</v>
      </c>
      <c r="I47" s="8">
        <v>38948</v>
      </c>
      <c r="J47" s="5">
        <f t="shared" ca="1" si="1"/>
        <v>19</v>
      </c>
      <c r="K47" s="7" t="s">
        <v>142</v>
      </c>
      <c r="L47" s="7">
        <v>96541238078</v>
      </c>
      <c r="M47" s="5">
        <v>123</v>
      </c>
      <c r="N47" s="5" t="s">
        <v>347</v>
      </c>
      <c r="O47" s="5" t="s">
        <v>144</v>
      </c>
      <c r="P47" s="5" t="s">
        <v>145</v>
      </c>
      <c r="Q47" s="5" t="s">
        <v>348</v>
      </c>
      <c r="R47" s="5" t="s">
        <v>349</v>
      </c>
    </row>
    <row r="48" spans="1:18" x14ac:dyDescent="0.3">
      <c r="A48" s="5">
        <v>45</v>
      </c>
      <c r="B48" s="5" t="s">
        <v>83</v>
      </c>
      <c r="C48" s="5" t="s">
        <v>321</v>
      </c>
      <c r="D48" s="5" t="s">
        <v>322</v>
      </c>
      <c r="E48" s="5" t="str">
        <f t="shared" si="0"/>
        <v>RithuChowdary</v>
      </c>
      <c r="F48" s="5" t="str">
        <f>_xlfn.CONCAT(E48,"C045@gmail.com")</f>
        <v>RithuChowdaryC045@gmail.com</v>
      </c>
      <c r="G48" s="5">
        <v>8897662119</v>
      </c>
      <c r="H48" s="5" t="s">
        <v>141</v>
      </c>
      <c r="I48" s="8">
        <v>37875</v>
      </c>
      <c r="J48" s="5">
        <f t="shared" ca="1" si="1"/>
        <v>22</v>
      </c>
      <c r="K48" s="7" t="s">
        <v>332</v>
      </c>
      <c r="L48" s="7" t="s">
        <v>340</v>
      </c>
      <c r="M48" s="5">
        <v>147</v>
      </c>
      <c r="N48" s="5" t="s">
        <v>350</v>
      </c>
      <c r="O48" s="5" t="s">
        <v>144</v>
      </c>
      <c r="P48" s="5" t="s">
        <v>145</v>
      </c>
      <c r="Q48" s="5" t="s">
        <v>351</v>
      </c>
      <c r="R48" s="5" t="s">
        <v>352</v>
      </c>
    </row>
    <row r="49" spans="1:18" x14ac:dyDescent="0.3">
      <c r="A49" s="5">
        <v>46</v>
      </c>
      <c r="B49" s="5" t="s">
        <v>84</v>
      </c>
      <c r="C49" s="5" t="s">
        <v>323</v>
      </c>
      <c r="D49" s="5" t="s">
        <v>324</v>
      </c>
      <c r="E49" s="5" t="str">
        <f t="shared" si="0"/>
        <v>TanujaPuttaswamy</v>
      </c>
      <c r="F49" s="5" t="str">
        <f>_xlfn.CONCAT(E49,"C046@gmail.com")</f>
        <v>TanujaPuttaswamyC046@gmail.com</v>
      </c>
      <c r="G49" s="5">
        <v>6302449968</v>
      </c>
      <c r="H49" s="5" t="s">
        <v>141</v>
      </c>
      <c r="I49" s="8">
        <v>36792</v>
      </c>
      <c r="J49" s="5">
        <f t="shared" ca="1" si="1"/>
        <v>25</v>
      </c>
      <c r="K49" s="7" t="s">
        <v>142</v>
      </c>
      <c r="L49" s="7">
        <v>63210458387</v>
      </c>
      <c r="M49" s="5">
        <v>851</v>
      </c>
      <c r="N49" s="5" t="s">
        <v>353</v>
      </c>
      <c r="O49" s="5" t="s">
        <v>144</v>
      </c>
      <c r="P49" s="5" t="s">
        <v>145</v>
      </c>
      <c r="Q49" s="5" t="s">
        <v>146</v>
      </c>
      <c r="R49" s="5" t="s">
        <v>343</v>
      </c>
    </row>
    <row r="50" spans="1:18" x14ac:dyDescent="0.3">
      <c r="A50" s="5">
        <v>47</v>
      </c>
      <c r="B50" s="5" t="s">
        <v>85</v>
      </c>
      <c r="C50" s="5" t="s">
        <v>316</v>
      </c>
      <c r="D50" s="5" t="s">
        <v>278</v>
      </c>
      <c r="E50" s="5" t="str">
        <f t="shared" si="0"/>
        <v>PawanKumar</v>
      </c>
      <c r="F50" s="5" t="str">
        <f>_xlfn.CONCAT(E50,"C047@gmail.com")</f>
        <v>PawanKumarC047@gmail.com</v>
      </c>
      <c r="G50" s="5">
        <v>8302448877</v>
      </c>
      <c r="H50" s="5" t="s">
        <v>331</v>
      </c>
      <c r="I50" s="8">
        <v>36611</v>
      </c>
      <c r="J50" s="5">
        <f t="shared" ca="1" si="1"/>
        <v>26</v>
      </c>
      <c r="K50" s="7" t="s">
        <v>142</v>
      </c>
      <c r="L50" s="7">
        <v>96541238078</v>
      </c>
      <c r="M50" s="5">
        <v>324</v>
      </c>
      <c r="N50" s="5" t="s">
        <v>354</v>
      </c>
      <c r="O50" s="5" t="s">
        <v>144</v>
      </c>
      <c r="P50" s="5" t="s">
        <v>145</v>
      </c>
      <c r="Q50" s="5" t="s">
        <v>342</v>
      </c>
      <c r="R50" s="5" t="s">
        <v>355</v>
      </c>
    </row>
    <row r="51" spans="1:18" x14ac:dyDescent="0.3">
      <c r="A51" s="5">
        <v>48</v>
      </c>
      <c r="B51" s="5" t="s">
        <v>86</v>
      </c>
      <c r="C51" s="5" t="s">
        <v>325</v>
      </c>
      <c r="D51" s="5" t="s">
        <v>326</v>
      </c>
      <c r="E51" s="5" t="str">
        <f t="shared" si="0"/>
        <v>UppalaBalu</v>
      </c>
      <c r="F51" s="5" t="str">
        <f>_xlfn.CONCAT(E51,"C048@gmail.com")</f>
        <v>UppalaBaluC048@gmail.com</v>
      </c>
      <c r="G51" s="5">
        <v>6501328746</v>
      </c>
      <c r="H51" s="5" t="s">
        <v>331</v>
      </c>
      <c r="I51" s="8">
        <v>38135</v>
      </c>
      <c r="J51" s="5">
        <f t="shared" ca="1" si="1"/>
        <v>22</v>
      </c>
      <c r="K51" s="7" t="s">
        <v>332</v>
      </c>
      <c r="L51" s="7" t="s">
        <v>339</v>
      </c>
      <c r="M51" s="5">
        <v>101</v>
      </c>
      <c r="N51" s="5" t="s">
        <v>356</v>
      </c>
      <c r="O51" s="5" t="s">
        <v>144</v>
      </c>
      <c r="P51" s="5" t="s">
        <v>145</v>
      </c>
      <c r="Q51" s="5" t="s">
        <v>357</v>
      </c>
      <c r="R51" s="5" t="s">
        <v>358</v>
      </c>
    </row>
    <row r="52" spans="1:18" x14ac:dyDescent="0.3">
      <c r="A52" s="5">
        <v>49</v>
      </c>
      <c r="B52" s="5" t="s">
        <v>87</v>
      </c>
      <c r="C52" s="5" t="s">
        <v>327</v>
      </c>
      <c r="D52" s="5" t="s">
        <v>328</v>
      </c>
      <c r="E52" s="5" t="str">
        <f t="shared" si="0"/>
        <v>BappatlaDurga</v>
      </c>
      <c r="F52" s="5" t="str">
        <f>_xlfn.CONCAT(E52,"C049@gmail.com")</f>
        <v>BappatlaDurgaC049@gmail.com</v>
      </c>
      <c r="G52" s="5">
        <v>9985132546</v>
      </c>
      <c r="H52" s="5" t="s">
        <v>331</v>
      </c>
      <c r="I52" s="8">
        <v>38440</v>
      </c>
      <c r="J52" s="5">
        <f t="shared" ca="1" si="1"/>
        <v>21</v>
      </c>
      <c r="K52" s="7" t="s">
        <v>332</v>
      </c>
      <c r="L52" s="7" t="s">
        <v>333</v>
      </c>
      <c r="M52" s="5">
        <v>107</v>
      </c>
      <c r="N52" s="5" t="s">
        <v>347</v>
      </c>
      <c r="O52" s="5" t="s">
        <v>144</v>
      </c>
      <c r="P52" s="5" t="s">
        <v>145</v>
      </c>
      <c r="Q52" s="5" t="s">
        <v>359</v>
      </c>
      <c r="R52" s="5" t="s">
        <v>349</v>
      </c>
    </row>
    <row r="53" spans="1:18" x14ac:dyDescent="0.3">
      <c r="A53" s="5">
        <v>50</v>
      </c>
      <c r="B53" s="5" t="s">
        <v>88</v>
      </c>
      <c r="C53" s="5" t="s">
        <v>329</v>
      </c>
      <c r="D53" s="5" t="s">
        <v>330</v>
      </c>
      <c r="E53" s="5" t="str">
        <f t="shared" si="0"/>
        <v>BalaSubryamanyam</v>
      </c>
      <c r="F53" s="5" t="str">
        <f>_xlfn.CONCAT(E53,"C050@gmail.com")</f>
        <v>BalaSubryamanyamC050@gmail.com</v>
      </c>
      <c r="G53" s="5">
        <v>9876523344</v>
      </c>
      <c r="H53" s="5" t="s">
        <v>331</v>
      </c>
      <c r="I53" s="8">
        <v>37349</v>
      </c>
      <c r="J53" s="5">
        <f t="shared" ca="1" si="1"/>
        <v>24</v>
      </c>
      <c r="K53" s="5" t="s">
        <v>142</v>
      </c>
      <c r="L53" s="7">
        <v>63210458387</v>
      </c>
      <c r="M53" s="5">
        <v>122</v>
      </c>
      <c r="N53" s="5" t="s">
        <v>360</v>
      </c>
      <c r="O53" s="5" t="s">
        <v>144</v>
      </c>
      <c r="P53" s="5" t="s">
        <v>145</v>
      </c>
      <c r="Q53" s="5" t="s">
        <v>351</v>
      </c>
      <c r="R53" s="5" t="s">
        <v>361</v>
      </c>
    </row>
  </sheetData>
  <mergeCells count="3">
    <mergeCell ref="A2:L2"/>
    <mergeCell ref="A1:V1"/>
    <mergeCell ref="M2:R2"/>
  </mergeCells>
  <phoneticPr fontId="5" type="noConversion"/>
  <conditionalFormatting sqref="H4:H53">
    <cfRule type="containsText" dxfId="13" priority="1" operator="containsText" text="Female">
      <formula>NOT(ISERROR(SEARCH("Female",H4)))</formula>
    </cfRule>
  </conditionalFormatting>
  <dataValidations count="6">
    <dataValidation type="list" allowBlank="1" showInputMessage="1" showErrorMessage="1" errorTitle="Message" error="Allow only in this list" sqref="H4:H53" xr:uid="{5859244F-7638-41A4-AF68-8653FD1AB362}">
      <formula1>"Female,Male,Others"</formula1>
    </dataValidation>
    <dataValidation type="whole" errorStyle="warning" operator="greaterThan" allowBlank="1" showInputMessage="1" showErrorMessage="1" errorTitle="Message" error="Allow only 18+years only" sqref="J4:J53" xr:uid="{79AF7B76-730A-42A1-BC11-C33484D69888}">
      <formula1>18</formula1>
    </dataValidation>
    <dataValidation type="list" errorStyle="warning" allowBlank="1" showInputMessage="1" showErrorMessage="1" errorTitle="Message" error="Allow only in this list proof ids" sqref="K4:K59" xr:uid="{2A945316-FEF2-4878-912A-C58A208B2235}">
      <formula1>"Adharcard,PANCARD"</formula1>
    </dataValidation>
    <dataValidation type="whole" allowBlank="1" showInputMessage="1" showErrorMessage="1" errorTitle="Message" error="Phone number should be 10digits only" sqref="G4:G53 L55" xr:uid="{BA80BBA9-4DC1-453B-ADB6-ED52FF4E16A7}">
      <formula1>1</formula1>
      <formula2>10</formula2>
    </dataValidation>
    <dataValidation type="whole" allowBlank="1" showInputMessage="1" showErrorMessage="1" sqref="L6 L20 L30:L31 L48 L9:L10 L13 L16:L17 L23:L24 L27 L37:L38 L41 L43:L45 L51:L52" xr:uid="{498C09C6-A6A7-4E74-B51D-5339DA006F2E}">
      <formula1>1</formula1>
      <formula2>10</formula2>
    </dataValidation>
    <dataValidation type="whole" allowBlank="1" showInputMessage="1" showErrorMessage="1" errorTitle="Message" error="Adhar number should be 12digits only" sqref="L56:L57 L11:L12 L14:L15 L7:L8 L25:L26 L28:L29 L32:L36 L39:L40 L21:L22 L42 L53:L54 L4:L5 L18:L19 L46:L47 L49:L50" xr:uid="{145778D3-61C8-44BA-82A9-E1C091953297}">
      <formula1>1</formula1>
      <formula2>12</formula2>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44F8C-F69C-401A-BC44-12CEE10F26C1}">
  <sheetPr>
    <tabColor rgb="FF7030A0"/>
  </sheetPr>
  <dimension ref="A1:U54"/>
  <sheetViews>
    <sheetView showGridLines="0" zoomScale="99" workbookViewId="0">
      <selection activeCell="N41" sqref="N41"/>
    </sheetView>
  </sheetViews>
  <sheetFormatPr defaultRowHeight="14.4" x14ac:dyDescent="0.3"/>
  <cols>
    <col min="2" max="2" width="9.6640625" bestFit="1" customWidth="1"/>
    <col min="3" max="3" width="12.5546875" bestFit="1" customWidth="1"/>
    <col min="4" max="4" width="9.6640625" bestFit="1" customWidth="1"/>
    <col min="5" max="5" width="5.109375" bestFit="1" customWidth="1"/>
    <col min="6" max="6" width="9.77734375" bestFit="1" customWidth="1"/>
    <col min="7" max="7" width="11.33203125" bestFit="1" customWidth="1"/>
    <col min="8" max="8" width="13.109375" bestFit="1" customWidth="1"/>
    <col min="9" max="9" width="14.109375" bestFit="1" customWidth="1"/>
    <col min="10" max="10" width="11.33203125" customWidth="1"/>
    <col min="11" max="11" width="13.44140625" bestFit="1" customWidth="1"/>
    <col min="12" max="12" width="10" bestFit="1" customWidth="1"/>
    <col min="17" max="17" width="9.88671875" bestFit="1" customWidth="1"/>
  </cols>
  <sheetData>
    <row r="1" spans="1:21" ht="89.4" customHeight="1" x14ac:dyDescent="0.3">
      <c r="A1" s="41"/>
      <c r="B1" s="41"/>
      <c r="C1" s="41"/>
      <c r="D1" s="41"/>
      <c r="E1" s="41"/>
      <c r="F1" s="41"/>
      <c r="G1" s="41"/>
      <c r="H1" s="41"/>
      <c r="I1" s="41"/>
      <c r="J1" s="41"/>
      <c r="K1" s="41"/>
      <c r="L1" s="41"/>
      <c r="M1" s="41"/>
      <c r="N1" s="41"/>
      <c r="O1" s="41"/>
      <c r="P1" s="41"/>
      <c r="Q1" s="41"/>
      <c r="R1" s="41"/>
      <c r="S1" s="41"/>
      <c r="T1" s="41"/>
      <c r="U1" s="41"/>
    </row>
    <row r="2" spans="1:21" x14ac:dyDescent="0.3">
      <c r="A2" s="42" t="s">
        <v>25</v>
      </c>
      <c r="B2" s="42"/>
      <c r="C2" s="42"/>
      <c r="D2" s="42"/>
      <c r="E2" s="42"/>
      <c r="F2" s="42"/>
      <c r="G2" s="42"/>
      <c r="H2" s="42"/>
      <c r="I2" s="42"/>
      <c r="J2" s="42"/>
      <c r="K2" s="42"/>
      <c r="L2" s="42"/>
      <c r="M2" s="42"/>
    </row>
    <row r="3" spans="1:21" x14ac:dyDescent="0.3">
      <c r="A3" s="3" t="s">
        <v>16</v>
      </c>
      <c r="B3" s="3" t="s">
        <v>27</v>
      </c>
      <c r="C3" s="3" t="s">
        <v>17</v>
      </c>
      <c r="D3" s="3" t="s">
        <v>18</v>
      </c>
      <c r="E3" s="3" t="s">
        <v>19</v>
      </c>
      <c r="F3" s="3" t="s">
        <v>20</v>
      </c>
      <c r="G3" s="3" t="s">
        <v>21</v>
      </c>
      <c r="H3" s="3" t="s">
        <v>28</v>
      </c>
      <c r="I3" s="3" t="s">
        <v>29</v>
      </c>
      <c r="J3" s="3" t="s">
        <v>26</v>
      </c>
      <c r="K3" s="3" t="s">
        <v>22</v>
      </c>
      <c r="L3" s="3" t="s">
        <v>23</v>
      </c>
      <c r="M3" s="3" t="s">
        <v>24</v>
      </c>
    </row>
    <row r="4" spans="1:21" x14ac:dyDescent="0.3">
      <c r="A4" s="10">
        <v>1</v>
      </c>
      <c r="B4" s="10" t="s">
        <v>89</v>
      </c>
      <c r="C4" s="10" t="s">
        <v>147</v>
      </c>
      <c r="D4" s="10" t="s">
        <v>148</v>
      </c>
      <c r="E4" s="10">
        <v>1</v>
      </c>
      <c r="F4" s="10" t="s">
        <v>149</v>
      </c>
      <c r="G4" s="10" t="str" cm="1">
        <f t="array" ref="G4">_xlfn.SWITCH(F4,"Single Bed","2000","Double Bed","4000","Queen Bed","5000","King Bed","6000")</f>
        <v>2000</v>
      </c>
      <c r="H4" s="11">
        <v>45728</v>
      </c>
      <c r="I4" s="11">
        <v>45730</v>
      </c>
      <c r="J4" s="10">
        <f>I4-H4</f>
        <v>2</v>
      </c>
      <c r="K4" s="10">
        <v>1</v>
      </c>
      <c r="L4" s="10" t="s">
        <v>150</v>
      </c>
      <c r="M4" s="10" t="str">
        <f ca="1">IF(TODAY()&gt;I4,"Available","Booked")</f>
        <v>Available</v>
      </c>
    </row>
    <row r="5" spans="1:21" x14ac:dyDescent="0.3">
      <c r="A5" s="10">
        <v>2</v>
      </c>
      <c r="B5" s="10" t="s">
        <v>90</v>
      </c>
      <c r="C5" s="10" t="s">
        <v>153</v>
      </c>
      <c r="D5" s="10" t="s">
        <v>151</v>
      </c>
      <c r="E5" s="10">
        <v>3</v>
      </c>
      <c r="F5" s="10" t="s">
        <v>152</v>
      </c>
      <c r="G5" s="10" t="str" cm="1">
        <f t="array" ref="G5">_xlfn.SWITCH(F5,"Single Bed","2000","Double Bed","4000","Queen Bed","5000","King Bed","6000")</f>
        <v>4000</v>
      </c>
      <c r="H5" s="11">
        <v>45699</v>
      </c>
      <c r="I5" s="11">
        <v>45699</v>
      </c>
      <c r="J5" s="10">
        <f t="shared" ref="J5:J53" si="0">I5-H5</f>
        <v>0</v>
      </c>
      <c r="K5" s="10">
        <v>2</v>
      </c>
      <c r="L5" s="10" t="s">
        <v>370</v>
      </c>
      <c r="M5" s="10" t="str">
        <f t="shared" ref="M5:M53" ca="1" si="1">IF(TODAY()&gt;I5,"Available","Booked")</f>
        <v>Available</v>
      </c>
    </row>
    <row r="6" spans="1:21" x14ac:dyDescent="0.3">
      <c r="A6" s="10">
        <v>3</v>
      </c>
      <c r="B6" s="10" t="s">
        <v>91</v>
      </c>
      <c r="C6" s="10" t="s">
        <v>154</v>
      </c>
      <c r="D6" s="10" t="s">
        <v>366</v>
      </c>
      <c r="E6" s="10">
        <v>2</v>
      </c>
      <c r="F6" s="10" t="s">
        <v>368</v>
      </c>
      <c r="G6" s="10" t="str" cm="1">
        <f t="array" ref="G6">_xlfn.SWITCH(F6,"Single Bed","2000","Double Bed","4000","Queen Bed","5000","King Bed","6000")</f>
        <v>5000</v>
      </c>
      <c r="H6" s="11">
        <v>45882</v>
      </c>
      <c r="I6" s="11">
        <v>45883</v>
      </c>
      <c r="J6" s="10">
        <f t="shared" si="0"/>
        <v>1</v>
      </c>
      <c r="K6" s="10">
        <v>3</v>
      </c>
      <c r="L6" s="10" t="s">
        <v>150</v>
      </c>
      <c r="M6" s="10" t="str">
        <f t="shared" ca="1" si="1"/>
        <v>Available</v>
      </c>
    </row>
    <row r="7" spans="1:21" x14ac:dyDescent="0.3">
      <c r="A7" s="10">
        <v>4</v>
      </c>
      <c r="B7" s="10" t="s">
        <v>92</v>
      </c>
      <c r="C7" s="10" t="s">
        <v>155</v>
      </c>
      <c r="D7" s="10" t="s">
        <v>367</v>
      </c>
      <c r="E7" s="10">
        <v>1</v>
      </c>
      <c r="F7" s="10" t="s">
        <v>369</v>
      </c>
      <c r="G7" s="10" t="str" cm="1">
        <f t="array" ref="G7">_xlfn.SWITCH(F7,"Single Bed","2000","Double Bed","4000","Queen Bed","5000","King Bed","6000")</f>
        <v>6000</v>
      </c>
      <c r="H7" s="11">
        <v>45727</v>
      </c>
      <c r="I7" s="11">
        <v>45729</v>
      </c>
      <c r="J7" s="10">
        <f t="shared" si="0"/>
        <v>2</v>
      </c>
      <c r="K7" s="10">
        <v>2</v>
      </c>
      <c r="L7" s="10" t="s">
        <v>150</v>
      </c>
      <c r="M7" s="10" t="str">
        <f t="shared" ca="1" si="1"/>
        <v>Available</v>
      </c>
    </row>
    <row r="8" spans="1:21" x14ac:dyDescent="0.3">
      <c r="A8" s="10">
        <v>5</v>
      </c>
      <c r="B8" s="10" t="s">
        <v>93</v>
      </c>
      <c r="C8" s="10" t="s">
        <v>156</v>
      </c>
      <c r="D8" s="10" t="s">
        <v>148</v>
      </c>
      <c r="E8" s="10">
        <v>4</v>
      </c>
      <c r="F8" s="10" t="s">
        <v>149</v>
      </c>
      <c r="G8" s="10" t="str" cm="1">
        <f t="array" ref="G8">_xlfn.SWITCH(F8,"Single Bed","2000","Double Bed","4000","Queen Bed","5000","King Bed","6000")</f>
        <v>2000</v>
      </c>
      <c r="H8" s="11">
        <v>46003</v>
      </c>
      <c r="I8" s="11">
        <v>46005</v>
      </c>
      <c r="J8" s="10">
        <f t="shared" si="0"/>
        <v>2</v>
      </c>
      <c r="K8" s="10">
        <v>1</v>
      </c>
      <c r="L8" s="10" t="s">
        <v>150</v>
      </c>
      <c r="M8" s="10" t="str">
        <f t="shared" ca="1" si="1"/>
        <v>Available</v>
      </c>
    </row>
    <row r="9" spans="1:21" x14ac:dyDescent="0.3">
      <c r="A9" s="10">
        <v>6</v>
      </c>
      <c r="B9" s="10" t="s">
        <v>94</v>
      </c>
      <c r="C9" s="10" t="s">
        <v>157</v>
      </c>
      <c r="D9" s="10" t="s">
        <v>151</v>
      </c>
      <c r="E9" s="10">
        <v>2</v>
      </c>
      <c r="F9" s="10" t="s">
        <v>149</v>
      </c>
      <c r="G9" s="10" t="str" cm="1">
        <f t="array" ref="G9">_xlfn.SWITCH(F9,"Single Bed","2000","Double Bed","4000","Queen Bed","5000","King Bed","6000")</f>
        <v>2000</v>
      </c>
      <c r="H9" s="11">
        <v>45748</v>
      </c>
      <c r="I9" s="11">
        <v>45748</v>
      </c>
      <c r="J9" s="10">
        <f t="shared" si="0"/>
        <v>0</v>
      </c>
      <c r="K9" s="10">
        <v>1</v>
      </c>
      <c r="L9" s="10" t="s">
        <v>370</v>
      </c>
      <c r="M9" s="10" t="str">
        <f t="shared" ca="1" si="1"/>
        <v>Available</v>
      </c>
    </row>
    <row r="10" spans="1:21" x14ac:dyDescent="0.3">
      <c r="A10" s="10">
        <v>7</v>
      </c>
      <c r="B10" s="10" t="s">
        <v>95</v>
      </c>
      <c r="C10" s="10" t="s">
        <v>158</v>
      </c>
      <c r="D10" s="10" t="s">
        <v>366</v>
      </c>
      <c r="E10" s="10">
        <v>2</v>
      </c>
      <c r="F10" s="10" t="s">
        <v>152</v>
      </c>
      <c r="G10" s="10" t="str" cm="1">
        <f t="array" ref="G10">_xlfn.SWITCH(F10,"Single Bed","2000","Double Bed","4000","Queen Bed","5000","King Bed","6000")</f>
        <v>4000</v>
      </c>
      <c r="H10" s="11">
        <v>45788</v>
      </c>
      <c r="I10" s="11">
        <v>45789</v>
      </c>
      <c r="J10" s="10">
        <f t="shared" si="0"/>
        <v>1</v>
      </c>
      <c r="K10" s="10">
        <v>2</v>
      </c>
      <c r="L10" s="10" t="s">
        <v>370</v>
      </c>
      <c r="M10" s="10" t="str">
        <f t="shared" ca="1" si="1"/>
        <v>Available</v>
      </c>
    </row>
    <row r="11" spans="1:21" x14ac:dyDescent="0.3">
      <c r="A11" s="10">
        <v>8</v>
      </c>
      <c r="B11" s="10" t="s">
        <v>96</v>
      </c>
      <c r="C11" s="10" t="s">
        <v>159</v>
      </c>
      <c r="D11" s="10" t="s">
        <v>367</v>
      </c>
      <c r="E11" s="10">
        <v>1</v>
      </c>
      <c r="F11" s="10" t="s">
        <v>152</v>
      </c>
      <c r="G11" s="10" t="str" cm="1">
        <f t="array" ref="G11">_xlfn.SWITCH(F11,"Single Bed","2000","Double Bed","4000","Queen Bed","5000","King Bed","6000")</f>
        <v>4000</v>
      </c>
      <c r="H11" s="11">
        <v>45911</v>
      </c>
      <c r="I11" s="11">
        <v>45911</v>
      </c>
      <c r="J11" s="10">
        <f t="shared" si="0"/>
        <v>0</v>
      </c>
      <c r="K11" s="10">
        <v>2</v>
      </c>
      <c r="L11" s="10" t="s">
        <v>150</v>
      </c>
      <c r="M11" s="10" t="str">
        <f t="shared" ca="1" si="1"/>
        <v>Available</v>
      </c>
    </row>
    <row r="12" spans="1:21" x14ac:dyDescent="0.3">
      <c r="A12" s="10">
        <v>9</v>
      </c>
      <c r="B12" s="10" t="s">
        <v>97</v>
      </c>
      <c r="C12" s="10" t="s">
        <v>160</v>
      </c>
      <c r="D12" s="10" t="s">
        <v>148</v>
      </c>
      <c r="E12" s="10">
        <v>3</v>
      </c>
      <c r="F12" s="10" t="s">
        <v>149</v>
      </c>
      <c r="G12" s="10" t="str" cm="1">
        <f t="array" ref="G12">_xlfn.SWITCH(F12,"Single Bed","2000","Double Bed","4000","Queen Bed","5000","King Bed","6000")</f>
        <v>2000</v>
      </c>
      <c r="H12" s="11">
        <v>45873</v>
      </c>
      <c r="I12" s="11">
        <v>45874</v>
      </c>
      <c r="J12" s="10">
        <f t="shared" si="0"/>
        <v>1</v>
      </c>
      <c r="K12" s="10">
        <v>1</v>
      </c>
      <c r="L12" s="10" t="s">
        <v>150</v>
      </c>
      <c r="M12" s="10" t="str">
        <f t="shared" ca="1" si="1"/>
        <v>Available</v>
      </c>
    </row>
    <row r="13" spans="1:21" x14ac:dyDescent="0.3">
      <c r="A13" s="10">
        <v>10</v>
      </c>
      <c r="B13" s="10" t="s">
        <v>98</v>
      </c>
      <c r="C13" s="10" t="s">
        <v>161</v>
      </c>
      <c r="D13" s="10" t="s">
        <v>151</v>
      </c>
      <c r="E13" s="10">
        <v>2</v>
      </c>
      <c r="F13" s="10" t="s">
        <v>152</v>
      </c>
      <c r="G13" s="10" t="str" cm="1">
        <f t="array" ref="G13">_xlfn.SWITCH(F13,"Single Bed","2000","Double Bed","4000","Queen Bed","5000","King Bed","6000")</f>
        <v>4000</v>
      </c>
      <c r="H13" s="11">
        <v>45816</v>
      </c>
      <c r="I13" s="11">
        <v>45817</v>
      </c>
      <c r="J13" s="10">
        <f t="shared" si="0"/>
        <v>1</v>
      </c>
      <c r="K13" s="10">
        <v>2</v>
      </c>
      <c r="L13" s="10" t="s">
        <v>150</v>
      </c>
      <c r="M13" s="10" t="str">
        <f t="shared" ca="1" si="1"/>
        <v>Available</v>
      </c>
    </row>
    <row r="14" spans="1:21" x14ac:dyDescent="0.3">
      <c r="A14" s="10">
        <v>11</v>
      </c>
      <c r="B14" s="10" t="s">
        <v>99</v>
      </c>
      <c r="C14" s="10" t="s">
        <v>162</v>
      </c>
      <c r="D14" s="10" t="s">
        <v>366</v>
      </c>
      <c r="E14" s="10">
        <v>1</v>
      </c>
      <c r="F14" s="10" t="s">
        <v>368</v>
      </c>
      <c r="G14" s="10" t="str" cm="1">
        <f t="array" ref="G14">_xlfn.SWITCH(F14,"Single Bed","2000","Double Bed","4000","Queen Bed","5000","King Bed","6000")</f>
        <v>5000</v>
      </c>
      <c r="H14" s="11">
        <v>45728</v>
      </c>
      <c r="I14" s="11">
        <v>45730</v>
      </c>
      <c r="J14" s="10">
        <f t="shared" si="0"/>
        <v>2</v>
      </c>
      <c r="K14" s="10">
        <v>3</v>
      </c>
      <c r="L14" s="10" t="s">
        <v>370</v>
      </c>
      <c r="M14" s="10" t="str">
        <f t="shared" ca="1" si="1"/>
        <v>Available</v>
      </c>
    </row>
    <row r="15" spans="1:21" x14ac:dyDescent="0.3">
      <c r="A15" s="10">
        <v>12</v>
      </c>
      <c r="B15" s="10" t="s">
        <v>100</v>
      </c>
      <c r="C15" s="10" t="s">
        <v>163</v>
      </c>
      <c r="D15" s="10" t="s">
        <v>367</v>
      </c>
      <c r="E15" s="10">
        <v>4</v>
      </c>
      <c r="F15" s="10" t="s">
        <v>369</v>
      </c>
      <c r="G15" s="10" t="str" cm="1">
        <f t="array" ref="G15">_xlfn.SWITCH(F15,"Single Bed","2000","Double Bed","4000","Queen Bed","5000","King Bed","6000")</f>
        <v>6000</v>
      </c>
      <c r="H15" s="11">
        <v>45699</v>
      </c>
      <c r="I15" s="11">
        <v>45699</v>
      </c>
      <c r="J15" s="10">
        <f t="shared" si="0"/>
        <v>0</v>
      </c>
      <c r="K15" s="10">
        <v>3</v>
      </c>
      <c r="L15" s="10" t="s">
        <v>370</v>
      </c>
      <c r="M15" s="10" t="str">
        <f t="shared" ca="1" si="1"/>
        <v>Available</v>
      </c>
    </row>
    <row r="16" spans="1:21" x14ac:dyDescent="0.3">
      <c r="A16" s="10">
        <v>13</v>
      </c>
      <c r="B16" s="10" t="s">
        <v>101</v>
      </c>
      <c r="C16" s="10" t="s">
        <v>164</v>
      </c>
      <c r="D16" s="10" t="s">
        <v>148</v>
      </c>
      <c r="E16" s="10">
        <v>2</v>
      </c>
      <c r="F16" s="10" t="s">
        <v>149</v>
      </c>
      <c r="G16" s="10" t="str" cm="1">
        <f t="array" ref="G16">_xlfn.SWITCH(F16,"Single Bed","2000","Double Bed","4000","Queen Bed","5000","King Bed","6000")</f>
        <v>2000</v>
      </c>
      <c r="H16" s="11">
        <v>45882</v>
      </c>
      <c r="I16" s="11">
        <v>45883</v>
      </c>
      <c r="J16" s="10">
        <f t="shared" si="0"/>
        <v>1</v>
      </c>
      <c r="K16" s="10">
        <v>1</v>
      </c>
      <c r="L16" s="10" t="s">
        <v>150</v>
      </c>
      <c r="M16" s="10" t="str">
        <f t="shared" ca="1" si="1"/>
        <v>Available</v>
      </c>
    </row>
    <row r="17" spans="1:13" x14ac:dyDescent="0.3">
      <c r="A17" s="10">
        <v>14</v>
      </c>
      <c r="B17" s="10" t="s">
        <v>102</v>
      </c>
      <c r="C17" s="10" t="s">
        <v>165</v>
      </c>
      <c r="D17" s="10" t="s">
        <v>151</v>
      </c>
      <c r="E17" s="10">
        <v>2</v>
      </c>
      <c r="F17" s="10" t="s">
        <v>149</v>
      </c>
      <c r="G17" s="10" t="str" cm="1">
        <f t="array" ref="G17">_xlfn.SWITCH(F17,"Single Bed","2000","Double Bed","4000","Queen Bed","5000","King Bed","6000")</f>
        <v>2000</v>
      </c>
      <c r="H17" s="11">
        <v>45727</v>
      </c>
      <c r="I17" s="11">
        <v>45729</v>
      </c>
      <c r="J17" s="10">
        <f t="shared" si="0"/>
        <v>2</v>
      </c>
      <c r="K17" s="10">
        <v>1</v>
      </c>
      <c r="L17" s="10" t="s">
        <v>150</v>
      </c>
      <c r="M17" s="10" t="str">
        <f t="shared" ca="1" si="1"/>
        <v>Available</v>
      </c>
    </row>
    <row r="18" spans="1:13" x14ac:dyDescent="0.3">
      <c r="A18" s="10">
        <v>15</v>
      </c>
      <c r="B18" s="10" t="s">
        <v>103</v>
      </c>
      <c r="C18" s="10" t="s">
        <v>166</v>
      </c>
      <c r="D18" s="10" t="s">
        <v>366</v>
      </c>
      <c r="E18" s="10">
        <v>1</v>
      </c>
      <c r="F18" s="10" t="s">
        <v>152</v>
      </c>
      <c r="G18" s="10" t="str" cm="1">
        <f t="array" ref="G18">_xlfn.SWITCH(F18,"Single Bed","2000","Double Bed","4000","Queen Bed","5000","King Bed","6000")</f>
        <v>4000</v>
      </c>
      <c r="H18" s="11">
        <v>46003</v>
      </c>
      <c r="I18" s="11">
        <v>46005</v>
      </c>
      <c r="J18" s="10">
        <f t="shared" si="0"/>
        <v>2</v>
      </c>
      <c r="K18" s="10">
        <v>2</v>
      </c>
      <c r="L18" s="10" t="s">
        <v>150</v>
      </c>
      <c r="M18" s="10" t="str">
        <f t="shared" ca="1" si="1"/>
        <v>Available</v>
      </c>
    </row>
    <row r="19" spans="1:13" x14ac:dyDescent="0.3">
      <c r="A19" s="10">
        <v>16</v>
      </c>
      <c r="B19" s="10" t="s">
        <v>104</v>
      </c>
      <c r="C19" s="10" t="s">
        <v>167</v>
      </c>
      <c r="D19" s="10" t="s">
        <v>367</v>
      </c>
      <c r="E19" s="10">
        <v>3</v>
      </c>
      <c r="F19" s="10" t="s">
        <v>152</v>
      </c>
      <c r="G19" s="10" t="str" cm="1">
        <f t="array" ref="G19">_xlfn.SWITCH(F19,"Single Bed","2000","Double Bed","4000","Queen Bed","5000","King Bed","6000")</f>
        <v>4000</v>
      </c>
      <c r="H19" s="11">
        <v>45748</v>
      </c>
      <c r="I19" s="11">
        <v>45748</v>
      </c>
      <c r="J19" s="10">
        <f t="shared" si="0"/>
        <v>0</v>
      </c>
      <c r="K19" s="10">
        <v>2</v>
      </c>
      <c r="L19" s="10" t="s">
        <v>150</v>
      </c>
      <c r="M19" s="10" t="str">
        <f t="shared" ca="1" si="1"/>
        <v>Available</v>
      </c>
    </row>
    <row r="20" spans="1:13" x14ac:dyDescent="0.3">
      <c r="A20" s="10">
        <v>17</v>
      </c>
      <c r="B20" s="10" t="s">
        <v>105</v>
      </c>
      <c r="C20" s="10" t="s">
        <v>168</v>
      </c>
      <c r="D20" s="10" t="s">
        <v>148</v>
      </c>
      <c r="E20" s="10">
        <v>2</v>
      </c>
      <c r="F20" s="10" t="s">
        <v>149</v>
      </c>
      <c r="G20" s="10" t="str" cm="1">
        <f t="array" ref="G20">_xlfn.SWITCH(F20,"Single Bed","2000","Double Bed","4000","Queen Bed","5000","King Bed","6000")</f>
        <v>2000</v>
      </c>
      <c r="H20" s="11">
        <v>45788</v>
      </c>
      <c r="I20" s="11">
        <v>45789</v>
      </c>
      <c r="J20" s="10">
        <f t="shared" si="0"/>
        <v>1</v>
      </c>
      <c r="K20" s="10">
        <v>1</v>
      </c>
      <c r="L20" s="10" t="s">
        <v>370</v>
      </c>
      <c r="M20" s="10" t="str">
        <f t="shared" ca="1" si="1"/>
        <v>Available</v>
      </c>
    </row>
    <row r="21" spans="1:13" x14ac:dyDescent="0.3">
      <c r="A21" s="10">
        <v>18</v>
      </c>
      <c r="B21" s="10" t="s">
        <v>106</v>
      </c>
      <c r="C21" s="10" t="s">
        <v>169</v>
      </c>
      <c r="D21" s="10" t="s">
        <v>151</v>
      </c>
      <c r="E21" s="10">
        <v>1</v>
      </c>
      <c r="F21" s="10" t="s">
        <v>152</v>
      </c>
      <c r="G21" s="10" t="str" cm="1">
        <f t="array" ref="G21">_xlfn.SWITCH(F21,"Single Bed","2000","Double Bed","4000","Queen Bed","5000","King Bed","6000")</f>
        <v>4000</v>
      </c>
      <c r="H21" s="11">
        <v>45911</v>
      </c>
      <c r="I21" s="11">
        <v>45911</v>
      </c>
      <c r="J21" s="10">
        <f t="shared" si="0"/>
        <v>0</v>
      </c>
      <c r="K21" s="10">
        <v>2</v>
      </c>
      <c r="L21" s="10" t="s">
        <v>150</v>
      </c>
      <c r="M21" s="10" t="str">
        <f t="shared" ca="1" si="1"/>
        <v>Available</v>
      </c>
    </row>
    <row r="22" spans="1:13" x14ac:dyDescent="0.3">
      <c r="A22" s="10">
        <v>19</v>
      </c>
      <c r="B22" s="10" t="s">
        <v>107</v>
      </c>
      <c r="C22" s="10" t="s">
        <v>170</v>
      </c>
      <c r="D22" s="10" t="s">
        <v>366</v>
      </c>
      <c r="E22" s="10">
        <v>4</v>
      </c>
      <c r="F22" s="10" t="s">
        <v>368</v>
      </c>
      <c r="G22" s="10" t="str" cm="1">
        <f t="array" ref="G22">_xlfn.SWITCH(F22,"Single Bed","2000","Double Bed","4000","Queen Bed","5000","King Bed","6000")</f>
        <v>5000</v>
      </c>
      <c r="H22" s="11">
        <v>45873</v>
      </c>
      <c r="I22" s="11">
        <v>45874</v>
      </c>
      <c r="J22" s="10">
        <f t="shared" si="0"/>
        <v>1</v>
      </c>
      <c r="K22" s="10">
        <v>4</v>
      </c>
      <c r="L22" s="10" t="s">
        <v>150</v>
      </c>
      <c r="M22" s="10" t="str">
        <f t="shared" ca="1" si="1"/>
        <v>Available</v>
      </c>
    </row>
    <row r="23" spans="1:13" x14ac:dyDescent="0.3">
      <c r="A23" s="10">
        <v>20</v>
      </c>
      <c r="B23" s="10" t="s">
        <v>108</v>
      </c>
      <c r="C23" s="10" t="s">
        <v>171</v>
      </c>
      <c r="D23" s="10" t="s">
        <v>367</v>
      </c>
      <c r="E23" s="10">
        <v>2</v>
      </c>
      <c r="F23" s="10" t="s">
        <v>369</v>
      </c>
      <c r="G23" s="10" t="str" cm="1">
        <f t="array" ref="G23">_xlfn.SWITCH(F23,"Single Bed","2000","Double Bed","4000","Queen Bed","5000","King Bed","6000")</f>
        <v>6000</v>
      </c>
      <c r="H23" s="11">
        <v>45816</v>
      </c>
      <c r="I23" s="11">
        <v>45817</v>
      </c>
      <c r="J23" s="10">
        <f t="shared" si="0"/>
        <v>1</v>
      </c>
      <c r="K23" s="10">
        <v>5</v>
      </c>
      <c r="L23" s="10" t="s">
        <v>150</v>
      </c>
      <c r="M23" s="10" t="str">
        <f t="shared" ca="1" si="1"/>
        <v>Available</v>
      </c>
    </row>
    <row r="24" spans="1:13" x14ac:dyDescent="0.3">
      <c r="A24" s="10">
        <v>21</v>
      </c>
      <c r="B24" s="10" t="s">
        <v>109</v>
      </c>
      <c r="C24" s="10" t="s">
        <v>172</v>
      </c>
      <c r="D24" s="10" t="s">
        <v>148</v>
      </c>
      <c r="E24" s="10">
        <v>2</v>
      </c>
      <c r="F24" s="10" t="s">
        <v>149</v>
      </c>
      <c r="G24" s="10" t="str" cm="1">
        <f t="array" ref="G24">_xlfn.SWITCH(F24,"Single Bed","2000","Double Bed","4000","Queen Bed","5000","King Bed","6000")</f>
        <v>2000</v>
      </c>
      <c r="H24" s="11">
        <v>45728</v>
      </c>
      <c r="I24" s="11">
        <v>45730</v>
      </c>
      <c r="J24" s="10">
        <f t="shared" si="0"/>
        <v>2</v>
      </c>
      <c r="K24" s="10">
        <v>1</v>
      </c>
      <c r="L24" s="10" t="s">
        <v>370</v>
      </c>
      <c r="M24" s="10" t="str">
        <f t="shared" ca="1" si="1"/>
        <v>Available</v>
      </c>
    </row>
    <row r="25" spans="1:13" x14ac:dyDescent="0.3">
      <c r="A25" s="10">
        <v>22</v>
      </c>
      <c r="B25" s="10" t="s">
        <v>110</v>
      </c>
      <c r="C25" s="10" t="s">
        <v>173</v>
      </c>
      <c r="D25" s="10" t="s">
        <v>151</v>
      </c>
      <c r="E25" s="10">
        <v>1</v>
      </c>
      <c r="F25" s="10" t="s">
        <v>149</v>
      </c>
      <c r="G25" s="10" t="str" cm="1">
        <f t="array" ref="G25">_xlfn.SWITCH(F25,"Single Bed","2000","Double Bed","4000","Queen Bed","5000","King Bed","6000")</f>
        <v>2000</v>
      </c>
      <c r="H25" s="11">
        <v>45699</v>
      </c>
      <c r="I25" s="11">
        <v>45699</v>
      </c>
      <c r="J25" s="10">
        <f t="shared" si="0"/>
        <v>0</v>
      </c>
      <c r="K25" s="10">
        <v>1</v>
      </c>
      <c r="L25" s="10" t="s">
        <v>370</v>
      </c>
      <c r="M25" s="10" t="str">
        <f t="shared" ca="1" si="1"/>
        <v>Available</v>
      </c>
    </row>
    <row r="26" spans="1:13" x14ac:dyDescent="0.3">
      <c r="A26" s="10">
        <v>23</v>
      </c>
      <c r="B26" s="10" t="s">
        <v>111</v>
      </c>
      <c r="C26" s="10" t="s">
        <v>174</v>
      </c>
      <c r="D26" s="10" t="s">
        <v>366</v>
      </c>
      <c r="E26" s="10">
        <v>3</v>
      </c>
      <c r="F26" s="10" t="s">
        <v>152</v>
      </c>
      <c r="G26" s="10" t="str" cm="1">
        <f t="array" ref="G26">_xlfn.SWITCH(F26,"Single Bed","2000","Double Bed","4000","Queen Bed","5000","King Bed","6000")</f>
        <v>4000</v>
      </c>
      <c r="H26" s="11">
        <v>45882</v>
      </c>
      <c r="I26" s="11">
        <v>45883</v>
      </c>
      <c r="J26" s="10">
        <f t="shared" si="0"/>
        <v>1</v>
      </c>
      <c r="K26" s="10">
        <v>2</v>
      </c>
      <c r="L26" s="10" t="s">
        <v>150</v>
      </c>
      <c r="M26" s="10" t="str">
        <f t="shared" ca="1" si="1"/>
        <v>Available</v>
      </c>
    </row>
    <row r="27" spans="1:13" x14ac:dyDescent="0.3">
      <c r="A27" s="10">
        <v>24</v>
      </c>
      <c r="B27" s="10" t="s">
        <v>112</v>
      </c>
      <c r="C27" s="10" t="s">
        <v>175</v>
      </c>
      <c r="D27" s="10" t="s">
        <v>367</v>
      </c>
      <c r="E27" s="10">
        <v>2</v>
      </c>
      <c r="F27" s="10" t="s">
        <v>152</v>
      </c>
      <c r="G27" s="10" t="str" cm="1">
        <f t="array" ref="G27">_xlfn.SWITCH(F27,"Single Bed","2000","Double Bed","4000","Queen Bed","5000","King Bed","6000")</f>
        <v>4000</v>
      </c>
      <c r="H27" s="11">
        <v>45727</v>
      </c>
      <c r="I27" s="11">
        <v>45729</v>
      </c>
      <c r="J27" s="10">
        <f t="shared" si="0"/>
        <v>2</v>
      </c>
      <c r="K27" s="10">
        <v>2</v>
      </c>
      <c r="L27" s="10" t="s">
        <v>150</v>
      </c>
      <c r="M27" s="10" t="str">
        <f t="shared" ca="1" si="1"/>
        <v>Available</v>
      </c>
    </row>
    <row r="28" spans="1:13" x14ac:dyDescent="0.3">
      <c r="A28" s="10">
        <v>25</v>
      </c>
      <c r="B28" s="10" t="s">
        <v>113</v>
      </c>
      <c r="C28" s="10" t="s">
        <v>176</v>
      </c>
      <c r="D28" s="10" t="s">
        <v>148</v>
      </c>
      <c r="E28" s="10">
        <v>1</v>
      </c>
      <c r="F28" s="10" t="s">
        <v>149</v>
      </c>
      <c r="G28" s="10" t="str" cm="1">
        <f t="array" ref="G28">_xlfn.SWITCH(F28,"Single Bed","2000","Double Bed","4000","Queen Bed","5000","King Bed","6000")</f>
        <v>2000</v>
      </c>
      <c r="H28" s="11">
        <v>46003</v>
      </c>
      <c r="I28" s="11">
        <v>46005</v>
      </c>
      <c r="J28" s="10">
        <f t="shared" si="0"/>
        <v>2</v>
      </c>
      <c r="K28" s="10">
        <v>1</v>
      </c>
      <c r="L28" s="10" t="s">
        <v>150</v>
      </c>
      <c r="M28" s="10" t="str">
        <f t="shared" ca="1" si="1"/>
        <v>Available</v>
      </c>
    </row>
    <row r="29" spans="1:13" x14ac:dyDescent="0.3">
      <c r="A29" s="10">
        <v>26</v>
      </c>
      <c r="B29" s="10" t="s">
        <v>114</v>
      </c>
      <c r="C29" s="10" t="s">
        <v>177</v>
      </c>
      <c r="D29" s="10" t="s">
        <v>151</v>
      </c>
      <c r="E29" s="10">
        <v>4</v>
      </c>
      <c r="F29" s="10" t="s">
        <v>152</v>
      </c>
      <c r="G29" s="10" t="str" cm="1">
        <f t="array" ref="G29">_xlfn.SWITCH(F29,"Single Bed","2000","Double Bed","4000","Queen Bed","5000","King Bed","6000")</f>
        <v>4000</v>
      </c>
      <c r="H29" s="11">
        <v>45748</v>
      </c>
      <c r="I29" s="11">
        <v>45748</v>
      </c>
      <c r="J29" s="10">
        <f t="shared" si="0"/>
        <v>0</v>
      </c>
      <c r="K29" s="10">
        <v>2</v>
      </c>
      <c r="L29" s="10" t="s">
        <v>370</v>
      </c>
      <c r="M29" s="10" t="str">
        <f t="shared" ca="1" si="1"/>
        <v>Available</v>
      </c>
    </row>
    <row r="30" spans="1:13" x14ac:dyDescent="0.3">
      <c r="A30" s="10">
        <v>27</v>
      </c>
      <c r="B30" s="10" t="s">
        <v>115</v>
      </c>
      <c r="C30" s="10" t="s">
        <v>178</v>
      </c>
      <c r="D30" s="10" t="s">
        <v>366</v>
      </c>
      <c r="E30" s="10">
        <v>2</v>
      </c>
      <c r="F30" s="10" t="s">
        <v>368</v>
      </c>
      <c r="G30" s="10" t="str" cm="1">
        <f t="array" ref="G30">_xlfn.SWITCH(F30,"Single Bed","2000","Double Bed","4000","Queen Bed","5000","King Bed","6000")</f>
        <v>5000</v>
      </c>
      <c r="H30" s="11">
        <v>45788</v>
      </c>
      <c r="I30" s="11">
        <v>45789</v>
      </c>
      <c r="J30" s="10">
        <f t="shared" si="0"/>
        <v>1</v>
      </c>
      <c r="K30" s="10">
        <v>3</v>
      </c>
      <c r="L30" s="10" t="s">
        <v>370</v>
      </c>
      <c r="M30" s="10" t="str">
        <f t="shared" ca="1" si="1"/>
        <v>Available</v>
      </c>
    </row>
    <row r="31" spans="1:13" x14ac:dyDescent="0.3">
      <c r="A31" s="10">
        <v>28</v>
      </c>
      <c r="B31" s="10" t="s">
        <v>116</v>
      </c>
      <c r="C31" s="10" t="s">
        <v>179</v>
      </c>
      <c r="D31" s="10" t="s">
        <v>367</v>
      </c>
      <c r="E31" s="10">
        <v>2</v>
      </c>
      <c r="F31" s="10" t="s">
        <v>369</v>
      </c>
      <c r="G31" s="10" t="str" cm="1">
        <f t="array" ref="G31">_xlfn.SWITCH(F31,"Single Bed","2000","Double Bed","4000","Queen Bed","5000","King Bed","6000")</f>
        <v>6000</v>
      </c>
      <c r="H31" s="11">
        <v>45911</v>
      </c>
      <c r="I31" s="11">
        <v>45911</v>
      </c>
      <c r="J31" s="10">
        <f t="shared" si="0"/>
        <v>0</v>
      </c>
      <c r="K31" s="10">
        <v>4</v>
      </c>
      <c r="L31" s="10" t="s">
        <v>150</v>
      </c>
      <c r="M31" s="10" t="str">
        <f t="shared" ca="1" si="1"/>
        <v>Available</v>
      </c>
    </row>
    <row r="32" spans="1:13" x14ac:dyDescent="0.3">
      <c r="A32" s="10">
        <v>29</v>
      </c>
      <c r="B32" s="10" t="s">
        <v>117</v>
      </c>
      <c r="C32" s="10" t="s">
        <v>180</v>
      </c>
      <c r="D32" s="10" t="s">
        <v>148</v>
      </c>
      <c r="E32" s="10">
        <v>4</v>
      </c>
      <c r="F32" s="10" t="s">
        <v>149</v>
      </c>
      <c r="G32" s="10" t="str" cm="1">
        <f t="array" ref="G32">_xlfn.SWITCH(F32,"Single Bed","2000","Double Bed","4000","Queen Bed","5000","King Bed","6000")</f>
        <v>2000</v>
      </c>
      <c r="H32" s="11">
        <v>45873</v>
      </c>
      <c r="I32" s="11">
        <v>45874</v>
      </c>
      <c r="J32" s="10">
        <f t="shared" si="0"/>
        <v>1</v>
      </c>
      <c r="K32" s="10">
        <v>1</v>
      </c>
      <c r="L32" s="10" t="s">
        <v>150</v>
      </c>
      <c r="M32" s="10" t="str">
        <f t="shared" ca="1" si="1"/>
        <v>Available</v>
      </c>
    </row>
    <row r="33" spans="1:13" x14ac:dyDescent="0.3">
      <c r="A33" s="10">
        <v>30</v>
      </c>
      <c r="B33" s="10" t="s">
        <v>118</v>
      </c>
      <c r="C33" s="10" t="s">
        <v>181</v>
      </c>
      <c r="D33" s="10" t="s">
        <v>151</v>
      </c>
      <c r="E33" s="10">
        <v>1</v>
      </c>
      <c r="F33" s="10" t="s">
        <v>149</v>
      </c>
      <c r="G33" s="10" t="str" cm="1">
        <f t="array" ref="G33">_xlfn.SWITCH(F33,"Single Bed","2000","Double Bed","4000","Queen Bed","5000","King Bed","6000")</f>
        <v>2000</v>
      </c>
      <c r="H33" s="11">
        <v>45816</v>
      </c>
      <c r="I33" s="11">
        <v>45817</v>
      </c>
      <c r="J33" s="10">
        <f t="shared" si="0"/>
        <v>1</v>
      </c>
      <c r="K33" s="10">
        <v>1</v>
      </c>
      <c r="L33" s="10" t="s">
        <v>150</v>
      </c>
      <c r="M33" s="10" t="str">
        <f t="shared" ca="1" si="1"/>
        <v>Available</v>
      </c>
    </row>
    <row r="34" spans="1:13" x14ac:dyDescent="0.3">
      <c r="A34" s="10">
        <v>31</v>
      </c>
      <c r="B34" s="10" t="s">
        <v>119</v>
      </c>
      <c r="C34" s="10" t="s">
        <v>182</v>
      </c>
      <c r="D34" s="10" t="s">
        <v>366</v>
      </c>
      <c r="E34" s="10">
        <v>3</v>
      </c>
      <c r="F34" s="10" t="s">
        <v>152</v>
      </c>
      <c r="G34" s="10" t="str" cm="1">
        <f t="array" ref="G34">_xlfn.SWITCH(F34,"Single Bed","2000","Double Bed","4000","Queen Bed","5000","King Bed","6000")</f>
        <v>4000</v>
      </c>
      <c r="H34" s="11">
        <v>45728</v>
      </c>
      <c r="I34" s="11">
        <v>45730</v>
      </c>
      <c r="J34" s="10">
        <f t="shared" si="0"/>
        <v>2</v>
      </c>
      <c r="K34" s="10">
        <v>2</v>
      </c>
      <c r="L34" s="10" t="s">
        <v>150</v>
      </c>
      <c r="M34" s="10" t="str">
        <f t="shared" ca="1" si="1"/>
        <v>Available</v>
      </c>
    </row>
    <row r="35" spans="1:13" x14ac:dyDescent="0.3">
      <c r="A35" s="10">
        <v>32</v>
      </c>
      <c r="B35" s="10" t="s">
        <v>120</v>
      </c>
      <c r="C35" s="10" t="s">
        <v>183</v>
      </c>
      <c r="D35" s="10" t="s">
        <v>367</v>
      </c>
      <c r="E35" s="10">
        <v>2</v>
      </c>
      <c r="F35" s="10" t="s">
        <v>152</v>
      </c>
      <c r="G35" s="10" t="str" cm="1">
        <f t="array" ref="G35">_xlfn.SWITCH(F35,"Single Bed","2000","Double Bed","4000","Queen Bed","5000","King Bed","6000")</f>
        <v>4000</v>
      </c>
      <c r="H35" s="11">
        <v>45699</v>
      </c>
      <c r="I35" s="11">
        <v>45699</v>
      </c>
      <c r="J35" s="10">
        <f t="shared" si="0"/>
        <v>0</v>
      </c>
      <c r="K35" s="10">
        <v>2</v>
      </c>
      <c r="L35" s="10" t="s">
        <v>370</v>
      </c>
      <c r="M35" s="10" t="str">
        <f t="shared" ca="1" si="1"/>
        <v>Available</v>
      </c>
    </row>
    <row r="36" spans="1:13" x14ac:dyDescent="0.3">
      <c r="A36" s="10">
        <v>33</v>
      </c>
      <c r="B36" s="10" t="s">
        <v>121</v>
      </c>
      <c r="C36" s="10" t="s">
        <v>184</v>
      </c>
      <c r="D36" s="10" t="s">
        <v>148</v>
      </c>
      <c r="E36" s="10">
        <v>1</v>
      </c>
      <c r="F36" s="10" t="s">
        <v>149</v>
      </c>
      <c r="G36" s="10" t="str" cm="1">
        <f t="array" ref="G36">_xlfn.SWITCH(F36,"Single Bed","2000","Double Bed","4000","Queen Bed","5000","King Bed","6000")</f>
        <v>2000</v>
      </c>
      <c r="H36" s="11">
        <v>45882</v>
      </c>
      <c r="I36" s="11">
        <v>45883</v>
      </c>
      <c r="J36" s="10">
        <f t="shared" si="0"/>
        <v>1</v>
      </c>
      <c r="K36" s="10">
        <v>1</v>
      </c>
      <c r="L36" s="10" t="s">
        <v>150</v>
      </c>
      <c r="M36" s="10" t="str">
        <f t="shared" ca="1" si="1"/>
        <v>Available</v>
      </c>
    </row>
    <row r="37" spans="1:13" x14ac:dyDescent="0.3">
      <c r="A37" s="10">
        <v>34</v>
      </c>
      <c r="B37" s="10" t="s">
        <v>122</v>
      </c>
      <c r="C37" s="10" t="s">
        <v>185</v>
      </c>
      <c r="D37" s="10" t="s">
        <v>151</v>
      </c>
      <c r="E37" s="10">
        <v>4</v>
      </c>
      <c r="F37" s="10" t="s">
        <v>152</v>
      </c>
      <c r="G37" s="10" t="str" cm="1">
        <f t="array" ref="G37">_xlfn.SWITCH(F37,"Single Bed","2000","Double Bed","4000","Queen Bed","5000","King Bed","6000")</f>
        <v>4000</v>
      </c>
      <c r="H37" s="11">
        <v>45727</v>
      </c>
      <c r="I37" s="11">
        <v>45729</v>
      </c>
      <c r="J37" s="10">
        <f t="shared" si="0"/>
        <v>2</v>
      </c>
      <c r="K37" s="10">
        <v>2</v>
      </c>
      <c r="L37" s="10" t="s">
        <v>150</v>
      </c>
      <c r="M37" s="10" t="str">
        <f t="shared" ca="1" si="1"/>
        <v>Available</v>
      </c>
    </row>
    <row r="38" spans="1:13" x14ac:dyDescent="0.3">
      <c r="A38" s="10">
        <v>35</v>
      </c>
      <c r="B38" s="10" t="s">
        <v>123</v>
      </c>
      <c r="C38" s="10" t="s">
        <v>186</v>
      </c>
      <c r="D38" s="10" t="s">
        <v>366</v>
      </c>
      <c r="E38" s="10">
        <v>2</v>
      </c>
      <c r="F38" s="10" t="s">
        <v>368</v>
      </c>
      <c r="G38" s="10" t="str" cm="1">
        <f t="array" ref="G38">_xlfn.SWITCH(F38,"Single Bed","2000","Double Bed","4000","Queen Bed","5000","King Bed","6000")</f>
        <v>5000</v>
      </c>
      <c r="H38" s="11">
        <v>46003</v>
      </c>
      <c r="I38" s="11">
        <v>46005</v>
      </c>
      <c r="J38" s="10">
        <f t="shared" si="0"/>
        <v>2</v>
      </c>
      <c r="K38" s="10">
        <v>3</v>
      </c>
      <c r="L38" s="10" t="s">
        <v>150</v>
      </c>
      <c r="M38" s="10" t="str">
        <f t="shared" ca="1" si="1"/>
        <v>Available</v>
      </c>
    </row>
    <row r="39" spans="1:13" x14ac:dyDescent="0.3">
      <c r="A39" s="10">
        <v>36</v>
      </c>
      <c r="B39" s="10" t="s">
        <v>124</v>
      </c>
      <c r="C39" s="10" t="s">
        <v>187</v>
      </c>
      <c r="D39" s="10" t="s">
        <v>367</v>
      </c>
      <c r="E39" s="10">
        <v>2</v>
      </c>
      <c r="F39" s="10" t="s">
        <v>369</v>
      </c>
      <c r="G39" s="10" t="str" cm="1">
        <f t="array" ref="G39">_xlfn.SWITCH(F39,"Single Bed","2000","Double Bed","4000","Queen Bed","5000","King Bed","6000")</f>
        <v>6000</v>
      </c>
      <c r="H39" s="11">
        <v>45748</v>
      </c>
      <c r="I39" s="11">
        <v>45748</v>
      </c>
      <c r="J39" s="10">
        <f t="shared" si="0"/>
        <v>0</v>
      </c>
      <c r="K39" s="10">
        <v>3</v>
      </c>
      <c r="L39" s="10" t="s">
        <v>370</v>
      </c>
      <c r="M39" s="10" t="str">
        <f t="shared" ca="1" si="1"/>
        <v>Available</v>
      </c>
    </row>
    <row r="40" spans="1:13" x14ac:dyDescent="0.3">
      <c r="A40" s="10">
        <v>37</v>
      </c>
      <c r="B40" s="10" t="s">
        <v>125</v>
      </c>
      <c r="C40" s="10" t="s">
        <v>188</v>
      </c>
      <c r="D40" s="10" t="s">
        <v>148</v>
      </c>
      <c r="E40" s="10">
        <v>1</v>
      </c>
      <c r="F40" s="10" t="s">
        <v>149</v>
      </c>
      <c r="G40" s="10" t="str" cm="1">
        <f t="array" ref="G40">_xlfn.SWITCH(F40,"Single Bed","2000","Double Bed","4000","Queen Bed","5000","King Bed","6000")</f>
        <v>2000</v>
      </c>
      <c r="H40" s="11">
        <v>45788</v>
      </c>
      <c r="I40" s="11">
        <v>45789</v>
      </c>
      <c r="J40" s="10">
        <f t="shared" si="0"/>
        <v>1</v>
      </c>
      <c r="K40" s="10">
        <v>1</v>
      </c>
      <c r="L40" s="10" t="s">
        <v>370</v>
      </c>
      <c r="M40" s="10" t="str">
        <f t="shared" ca="1" si="1"/>
        <v>Available</v>
      </c>
    </row>
    <row r="41" spans="1:13" x14ac:dyDescent="0.3">
      <c r="A41" s="10">
        <v>38</v>
      </c>
      <c r="B41" s="10" t="s">
        <v>126</v>
      </c>
      <c r="C41" s="10" t="s">
        <v>189</v>
      </c>
      <c r="D41" s="10" t="s">
        <v>151</v>
      </c>
      <c r="E41" s="10">
        <v>3</v>
      </c>
      <c r="F41" s="10" t="s">
        <v>149</v>
      </c>
      <c r="G41" s="10" t="str" cm="1">
        <f t="array" ref="G41">_xlfn.SWITCH(F41,"Single Bed","2000","Double Bed","4000","Queen Bed","5000","King Bed","6000")</f>
        <v>2000</v>
      </c>
      <c r="H41" s="11">
        <v>45911</v>
      </c>
      <c r="I41" s="11">
        <v>45911</v>
      </c>
      <c r="J41" s="10">
        <f t="shared" si="0"/>
        <v>0</v>
      </c>
      <c r="K41" s="10">
        <v>1</v>
      </c>
      <c r="L41" s="10" t="s">
        <v>150</v>
      </c>
      <c r="M41" s="10" t="str">
        <f t="shared" ca="1" si="1"/>
        <v>Available</v>
      </c>
    </row>
    <row r="42" spans="1:13" x14ac:dyDescent="0.3">
      <c r="A42" s="10">
        <v>39</v>
      </c>
      <c r="B42" s="10" t="s">
        <v>127</v>
      </c>
      <c r="C42" s="10" t="s">
        <v>190</v>
      </c>
      <c r="D42" s="10" t="s">
        <v>366</v>
      </c>
      <c r="E42" s="10">
        <v>2</v>
      </c>
      <c r="F42" s="10" t="s">
        <v>152</v>
      </c>
      <c r="G42" s="10" t="str" cm="1">
        <f t="array" ref="G42">_xlfn.SWITCH(F42,"Single Bed","2000","Double Bed","4000","Queen Bed","5000","King Bed","6000")</f>
        <v>4000</v>
      </c>
      <c r="H42" s="11">
        <v>45873</v>
      </c>
      <c r="I42" s="11">
        <v>45874</v>
      </c>
      <c r="J42" s="10">
        <f t="shared" si="0"/>
        <v>1</v>
      </c>
      <c r="K42" s="10">
        <v>3</v>
      </c>
      <c r="L42" s="10" t="s">
        <v>150</v>
      </c>
      <c r="M42" s="10" t="str">
        <f t="shared" ca="1" si="1"/>
        <v>Available</v>
      </c>
    </row>
    <row r="43" spans="1:13" x14ac:dyDescent="0.3">
      <c r="A43" s="10">
        <v>40</v>
      </c>
      <c r="B43" s="10" t="s">
        <v>128</v>
      </c>
      <c r="C43" s="10" t="s">
        <v>191</v>
      </c>
      <c r="D43" s="10" t="s">
        <v>367</v>
      </c>
      <c r="E43" s="10">
        <v>1</v>
      </c>
      <c r="F43" s="10" t="s">
        <v>152</v>
      </c>
      <c r="G43" s="10" t="str" cm="1">
        <f t="array" ref="G43">_xlfn.SWITCH(F43,"Single Bed","2000","Double Bed","4000","Queen Bed","5000","King Bed","6000")</f>
        <v>4000</v>
      </c>
      <c r="H43" s="11">
        <v>45816</v>
      </c>
      <c r="I43" s="11">
        <v>45817</v>
      </c>
      <c r="J43" s="10">
        <f t="shared" si="0"/>
        <v>1</v>
      </c>
      <c r="K43" s="10">
        <v>1</v>
      </c>
      <c r="L43" s="10" t="s">
        <v>150</v>
      </c>
      <c r="M43" s="10" t="str">
        <f t="shared" ca="1" si="1"/>
        <v>Available</v>
      </c>
    </row>
    <row r="44" spans="1:13" x14ac:dyDescent="0.3">
      <c r="A44" s="10">
        <v>41</v>
      </c>
      <c r="B44" s="10" t="s">
        <v>129</v>
      </c>
      <c r="C44" s="10" t="s">
        <v>192</v>
      </c>
      <c r="D44" s="10" t="s">
        <v>148</v>
      </c>
      <c r="E44" s="10">
        <v>4</v>
      </c>
      <c r="F44" s="10" t="s">
        <v>149</v>
      </c>
      <c r="G44" s="10" t="str" cm="1">
        <f t="array" ref="G44">_xlfn.SWITCH(F44,"Single Bed","2000","Double Bed","4000","Queen Bed","5000","King Bed","6000")</f>
        <v>2000</v>
      </c>
      <c r="H44" s="11">
        <v>45728</v>
      </c>
      <c r="I44" s="11">
        <v>45730</v>
      </c>
      <c r="J44" s="10">
        <f t="shared" si="0"/>
        <v>2</v>
      </c>
      <c r="K44" s="10">
        <v>2</v>
      </c>
      <c r="L44" s="10" t="s">
        <v>370</v>
      </c>
      <c r="M44" s="10" t="str">
        <f t="shared" ca="1" si="1"/>
        <v>Available</v>
      </c>
    </row>
    <row r="45" spans="1:13" x14ac:dyDescent="0.3">
      <c r="A45" s="10">
        <v>42</v>
      </c>
      <c r="B45" s="10" t="s">
        <v>130</v>
      </c>
      <c r="C45" s="10" t="s">
        <v>193</v>
      </c>
      <c r="D45" s="10" t="s">
        <v>151</v>
      </c>
      <c r="E45" s="10">
        <v>2</v>
      </c>
      <c r="F45" s="10" t="s">
        <v>152</v>
      </c>
      <c r="G45" s="10" t="str" cm="1">
        <f t="array" ref="G45">_xlfn.SWITCH(F45,"Single Bed","2000","Double Bed","4000","Queen Bed","5000","King Bed","6000")</f>
        <v>4000</v>
      </c>
      <c r="H45" s="11">
        <v>45699</v>
      </c>
      <c r="I45" s="11">
        <v>45699</v>
      </c>
      <c r="J45" s="10">
        <f t="shared" si="0"/>
        <v>0</v>
      </c>
      <c r="K45" s="10">
        <v>3</v>
      </c>
      <c r="L45" s="10" t="s">
        <v>370</v>
      </c>
      <c r="M45" s="10" t="str">
        <f t="shared" ca="1" si="1"/>
        <v>Available</v>
      </c>
    </row>
    <row r="46" spans="1:13" x14ac:dyDescent="0.3">
      <c r="A46" s="10">
        <v>43</v>
      </c>
      <c r="B46" s="10" t="s">
        <v>131</v>
      </c>
      <c r="C46" s="10" t="s">
        <v>194</v>
      </c>
      <c r="D46" s="10" t="s">
        <v>366</v>
      </c>
      <c r="E46" s="10">
        <v>2</v>
      </c>
      <c r="F46" s="10" t="s">
        <v>368</v>
      </c>
      <c r="G46" s="10" t="str" cm="1">
        <f t="array" ref="G46">_xlfn.SWITCH(F46,"Single Bed","2000","Double Bed","4000","Queen Bed","5000","King Bed","6000")</f>
        <v>5000</v>
      </c>
      <c r="H46" s="11">
        <v>45882</v>
      </c>
      <c r="I46" s="11">
        <v>45883</v>
      </c>
      <c r="J46" s="10">
        <f t="shared" si="0"/>
        <v>1</v>
      </c>
      <c r="K46" s="10">
        <v>3</v>
      </c>
      <c r="L46" s="10" t="s">
        <v>150</v>
      </c>
      <c r="M46" s="10" t="str">
        <f t="shared" ca="1" si="1"/>
        <v>Available</v>
      </c>
    </row>
    <row r="47" spans="1:13" x14ac:dyDescent="0.3">
      <c r="A47" s="10">
        <v>44</v>
      </c>
      <c r="B47" s="10" t="s">
        <v>132</v>
      </c>
      <c r="C47" s="10" t="s">
        <v>195</v>
      </c>
      <c r="D47" s="10" t="s">
        <v>367</v>
      </c>
      <c r="E47" s="10">
        <v>1</v>
      </c>
      <c r="F47" s="10" t="s">
        <v>369</v>
      </c>
      <c r="G47" s="10" t="str" cm="1">
        <f t="array" ref="G47">_xlfn.SWITCH(F47,"Single Bed","2000","Double Bed","4000","Queen Bed","5000","King Bed","6000")</f>
        <v>6000</v>
      </c>
      <c r="H47" s="11">
        <v>45727</v>
      </c>
      <c r="I47" s="11">
        <v>45729</v>
      </c>
      <c r="J47" s="10">
        <f t="shared" si="0"/>
        <v>2</v>
      </c>
      <c r="K47" s="10">
        <v>4</v>
      </c>
      <c r="L47" s="10" t="s">
        <v>150</v>
      </c>
      <c r="M47" s="10" t="str">
        <f t="shared" ca="1" si="1"/>
        <v>Available</v>
      </c>
    </row>
    <row r="48" spans="1:13" x14ac:dyDescent="0.3">
      <c r="A48" s="10">
        <v>45</v>
      </c>
      <c r="B48" s="10" t="s">
        <v>133</v>
      </c>
      <c r="C48" s="10" t="s">
        <v>196</v>
      </c>
      <c r="D48" s="10" t="s">
        <v>148</v>
      </c>
      <c r="E48" s="10">
        <v>3</v>
      </c>
      <c r="F48" s="10" t="s">
        <v>149</v>
      </c>
      <c r="G48" s="10" t="str" cm="1">
        <f t="array" ref="G48">_xlfn.SWITCH(F48,"Single Bed","2000","Double Bed","4000","Queen Bed","5000","King Bed","6000")</f>
        <v>2000</v>
      </c>
      <c r="H48" s="11">
        <v>46003</v>
      </c>
      <c r="I48" s="11">
        <v>46005</v>
      </c>
      <c r="J48" s="10">
        <f t="shared" si="0"/>
        <v>2</v>
      </c>
      <c r="K48" s="10">
        <v>1</v>
      </c>
      <c r="L48" s="10" t="s">
        <v>150</v>
      </c>
      <c r="M48" s="10" t="str">
        <f t="shared" ca="1" si="1"/>
        <v>Available</v>
      </c>
    </row>
    <row r="49" spans="1:13" x14ac:dyDescent="0.3">
      <c r="A49" s="10">
        <v>46</v>
      </c>
      <c r="B49" s="10" t="s">
        <v>134</v>
      </c>
      <c r="C49" s="10" t="s">
        <v>197</v>
      </c>
      <c r="D49" s="10" t="s">
        <v>148</v>
      </c>
      <c r="E49" s="10">
        <v>2</v>
      </c>
      <c r="F49" s="10" t="s">
        <v>149</v>
      </c>
      <c r="G49" s="10" t="str" cm="1">
        <f t="array" ref="G49">_xlfn.SWITCH(F49,"Single Bed","2000","Double Bed","4000","Queen Bed","5000","King Bed","6000")</f>
        <v>2000</v>
      </c>
      <c r="H49" s="11">
        <v>45748</v>
      </c>
      <c r="I49" s="11">
        <v>45748</v>
      </c>
      <c r="J49" s="10">
        <f t="shared" si="0"/>
        <v>0</v>
      </c>
      <c r="K49" s="10">
        <v>1</v>
      </c>
      <c r="L49" s="10" t="s">
        <v>150</v>
      </c>
      <c r="M49" s="10" t="str">
        <f t="shared" ca="1" si="1"/>
        <v>Available</v>
      </c>
    </row>
    <row r="50" spans="1:13" x14ac:dyDescent="0.3">
      <c r="A50" s="10">
        <v>47</v>
      </c>
      <c r="B50" s="10" t="s">
        <v>135</v>
      </c>
      <c r="C50" s="10" t="s">
        <v>198</v>
      </c>
      <c r="D50" s="10" t="s">
        <v>151</v>
      </c>
      <c r="E50" s="10">
        <v>1</v>
      </c>
      <c r="F50" s="10" t="s">
        <v>152</v>
      </c>
      <c r="G50" s="10" t="str" cm="1">
        <f t="array" ref="G50">_xlfn.SWITCH(F50,"Single Bed","2000","Double Bed","4000","Queen Bed","5000","King Bed","6000")</f>
        <v>4000</v>
      </c>
      <c r="H50" s="11">
        <v>45788</v>
      </c>
      <c r="I50" s="11">
        <v>45789</v>
      </c>
      <c r="J50" s="10">
        <f t="shared" si="0"/>
        <v>1</v>
      </c>
      <c r="K50" s="10">
        <v>2</v>
      </c>
      <c r="L50" s="10" t="s">
        <v>370</v>
      </c>
      <c r="M50" s="10" t="str">
        <f t="shared" ca="1" si="1"/>
        <v>Available</v>
      </c>
    </row>
    <row r="51" spans="1:13" x14ac:dyDescent="0.3">
      <c r="A51" s="10">
        <v>48</v>
      </c>
      <c r="B51" s="10" t="s">
        <v>136</v>
      </c>
      <c r="C51" s="10" t="s">
        <v>199</v>
      </c>
      <c r="D51" s="10" t="s">
        <v>366</v>
      </c>
      <c r="E51" s="10">
        <v>4</v>
      </c>
      <c r="F51" s="10" t="s">
        <v>152</v>
      </c>
      <c r="G51" s="10" t="str" cm="1">
        <f t="array" ref="G51">_xlfn.SWITCH(F51,"Single Bed","2000","Double Bed","4000","Queen Bed","5000","King Bed","6000")</f>
        <v>4000</v>
      </c>
      <c r="H51" s="11">
        <v>45911</v>
      </c>
      <c r="I51" s="11">
        <v>45911</v>
      </c>
      <c r="J51" s="10">
        <f t="shared" si="0"/>
        <v>0</v>
      </c>
      <c r="K51" s="10">
        <v>2</v>
      </c>
      <c r="L51" s="10" t="s">
        <v>370</v>
      </c>
      <c r="M51" s="10" t="str">
        <f t="shared" ca="1" si="1"/>
        <v>Available</v>
      </c>
    </row>
    <row r="52" spans="1:13" x14ac:dyDescent="0.3">
      <c r="A52" s="10">
        <v>49</v>
      </c>
      <c r="B52" s="10" t="s">
        <v>137</v>
      </c>
      <c r="C52" s="10" t="s">
        <v>200</v>
      </c>
      <c r="D52" s="10" t="s">
        <v>367</v>
      </c>
      <c r="E52" s="10">
        <v>2</v>
      </c>
      <c r="F52" s="10" t="s">
        <v>369</v>
      </c>
      <c r="G52" s="10" t="str" cm="1">
        <f t="array" ref="G52">_xlfn.SWITCH(F52,"Single Bed","2000","Double Bed","4000","Queen Bed","5000","King Bed","6000")</f>
        <v>6000</v>
      </c>
      <c r="H52" s="11">
        <v>45873</v>
      </c>
      <c r="I52" s="11">
        <v>45874</v>
      </c>
      <c r="J52" s="10">
        <f t="shared" si="0"/>
        <v>1</v>
      </c>
      <c r="K52" s="10">
        <v>3</v>
      </c>
      <c r="L52" s="10" t="s">
        <v>150</v>
      </c>
      <c r="M52" s="10" t="str">
        <f t="shared" ca="1" si="1"/>
        <v>Available</v>
      </c>
    </row>
    <row r="53" spans="1:13" x14ac:dyDescent="0.3">
      <c r="A53" s="10">
        <v>50</v>
      </c>
      <c r="B53" s="10" t="s">
        <v>138</v>
      </c>
      <c r="C53" s="10" t="s">
        <v>201</v>
      </c>
      <c r="D53" s="10" t="s">
        <v>148</v>
      </c>
      <c r="E53" s="10">
        <v>2</v>
      </c>
      <c r="F53" s="10" t="s">
        <v>368</v>
      </c>
      <c r="G53" s="10" t="str" cm="1">
        <f t="array" ref="G53">_xlfn.SWITCH(F53,"Single Bed","2000","Double Bed","4000","Queen Bed","5000","King Bed","6000")</f>
        <v>5000</v>
      </c>
      <c r="H53" s="11">
        <v>45816</v>
      </c>
      <c r="I53" s="11">
        <v>45817</v>
      </c>
      <c r="J53" s="10">
        <f t="shared" si="0"/>
        <v>1</v>
      </c>
      <c r="K53" s="10">
        <v>3</v>
      </c>
      <c r="L53" s="10" t="s">
        <v>150</v>
      </c>
      <c r="M53" s="10" t="str">
        <f t="shared" ca="1" si="1"/>
        <v>Available</v>
      </c>
    </row>
    <row r="54" spans="1:13" x14ac:dyDescent="0.3">
      <c r="E54" s="1"/>
      <c r="L54" s="1"/>
    </row>
  </sheetData>
  <mergeCells count="2">
    <mergeCell ref="A2:M2"/>
    <mergeCell ref="A1:U1"/>
  </mergeCells>
  <phoneticPr fontId="5" type="noConversion"/>
  <conditionalFormatting sqref="J4:J53">
    <cfRule type="cellIs" dxfId="12" priority="1" operator="greaterThan">
      <formula>1</formula>
    </cfRule>
  </conditionalFormatting>
  <dataValidations count="5">
    <dataValidation type="list" allowBlank="1" showInputMessage="1" showErrorMessage="1" errorTitle="Message" error="Beds are available above list only" sqref="D4:D53" xr:uid="{D5AAB94C-6DFF-44FB-900D-63535F5773B6}">
      <formula1>"Single,Double,Deluxe,Suite"</formula1>
    </dataValidation>
    <dataValidation type="list" allowBlank="1" showInputMessage="1" showErrorMessage="1" sqref="F4:F53" xr:uid="{39A36424-533B-43C6-B983-0D54DF1BD81D}">
      <formula1>"Single Bed,Double Bed,Queen Bed,King Bed"</formula1>
    </dataValidation>
    <dataValidation type="list" allowBlank="1" showInputMessage="1" showErrorMessage="1" promptTitle="Message" prompt="In this Hotel 4-floors only there" sqref="E4:E60" xr:uid="{602F8098-1EB7-47DB-A3CD-EB3A38A42549}">
      <formula1>"1,2,3,4"</formula1>
    </dataValidation>
    <dataValidation type="list" allowBlank="1" showInputMessage="1" showErrorMessage="1" sqref="L4:L10 L12:L25 L27:L40 L42:L54" xr:uid="{12462ED4-7D8C-4A3F-85C9-9C5BD8EFC5F8}">
      <formula1>"AC,Non-AC"</formula1>
    </dataValidation>
    <dataValidation type="list" allowBlank="1" showInputMessage="1" showErrorMessage="1" sqref="Q13 Q7" xr:uid="{DD2E080B-DBC3-4870-98C9-37EBB2D42DFE}">
      <formula1>$F$4:$F$53</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82892-2C08-4554-90A7-515617EF3073}">
  <sheetPr>
    <tabColor rgb="FFFFFF00"/>
  </sheetPr>
  <dimension ref="A2:Y61"/>
  <sheetViews>
    <sheetView showGridLines="0" workbookViewId="0">
      <selection activeCell="P15" sqref="P15"/>
    </sheetView>
  </sheetViews>
  <sheetFormatPr defaultRowHeight="14.4" x14ac:dyDescent="0.3"/>
  <cols>
    <col min="1" max="1" width="13.5546875" bestFit="1" customWidth="1"/>
    <col min="2" max="2" width="15.88671875" bestFit="1" customWidth="1"/>
    <col min="3" max="3" width="19.88671875" bestFit="1" customWidth="1"/>
    <col min="17" max="17" width="11.88671875" customWidth="1"/>
    <col min="18" max="18" width="7.109375" customWidth="1"/>
    <col min="19" max="19" width="10.33203125" customWidth="1"/>
    <col min="20" max="20" width="13.6640625" customWidth="1"/>
    <col min="21" max="21" width="14.88671875" customWidth="1"/>
    <col min="22" max="22" width="15.88671875" customWidth="1"/>
    <col min="23" max="23" width="11.6640625" customWidth="1"/>
    <col min="24" max="24" width="15.5546875" customWidth="1"/>
    <col min="25" max="25" width="11.88671875" customWidth="1"/>
  </cols>
  <sheetData>
    <row r="2" spans="1:25" x14ac:dyDescent="0.3">
      <c r="Q2" s="22" t="s">
        <v>18</v>
      </c>
      <c r="R2" s="23" t="s">
        <v>19</v>
      </c>
      <c r="S2" s="23" t="s">
        <v>20</v>
      </c>
      <c r="T2" s="23" t="s">
        <v>21</v>
      </c>
      <c r="U2" s="23" t="s">
        <v>28</v>
      </c>
      <c r="V2" s="23" t="s">
        <v>29</v>
      </c>
      <c r="W2" s="23" t="s">
        <v>26</v>
      </c>
      <c r="X2" s="23" t="s">
        <v>22</v>
      </c>
      <c r="Y2" s="24" t="s">
        <v>23</v>
      </c>
    </row>
    <row r="3" spans="1:25" x14ac:dyDescent="0.3">
      <c r="A3" s="14" t="s">
        <v>371</v>
      </c>
      <c r="B3" t="s">
        <v>385</v>
      </c>
      <c r="Q3" s="20" t="s">
        <v>148</v>
      </c>
      <c r="R3" s="10">
        <v>1</v>
      </c>
      <c r="S3" s="10" t="s">
        <v>149</v>
      </c>
      <c r="T3" s="10" t="str" cm="1">
        <f t="array" ref="T3">_xlfn.SWITCH(S3,"Single Bed","2000","Double Bed","4000","Queen Bed","5000","King Bed","6000")</f>
        <v>2000</v>
      </c>
      <c r="U3" s="11">
        <v>45728</v>
      </c>
      <c r="V3" s="11">
        <v>45730</v>
      </c>
      <c r="W3" s="10">
        <f>V3-U3</f>
        <v>2</v>
      </c>
      <c r="X3" s="10">
        <v>1</v>
      </c>
      <c r="Y3" s="21" t="s">
        <v>150</v>
      </c>
    </row>
    <row r="4" spans="1:25" x14ac:dyDescent="0.3">
      <c r="A4" s="15" t="s">
        <v>366</v>
      </c>
      <c r="B4">
        <v>15</v>
      </c>
      <c r="Q4" s="20" t="s">
        <v>151</v>
      </c>
      <c r="R4" s="10">
        <v>3</v>
      </c>
      <c r="S4" s="10" t="s">
        <v>152</v>
      </c>
      <c r="T4" s="10" t="str" cm="1">
        <f t="array" ref="T4">_xlfn.SWITCH(S4,"Single Bed","2000","Double Bed","4000","Queen Bed","5000","King Bed","6000")</f>
        <v>4000</v>
      </c>
      <c r="U4" s="11">
        <v>45699</v>
      </c>
      <c r="V4" s="11">
        <v>45699</v>
      </c>
      <c r="W4" s="10">
        <f t="shared" ref="W4:W52" si="0">V4-U4</f>
        <v>0</v>
      </c>
      <c r="X4" s="10">
        <v>2</v>
      </c>
      <c r="Y4" s="21" t="s">
        <v>370</v>
      </c>
    </row>
    <row r="5" spans="1:25" x14ac:dyDescent="0.3">
      <c r="A5" s="16" t="s">
        <v>152</v>
      </c>
      <c r="B5">
        <v>7</v>
      </c>
      <c r="Q5" s="20" t="s">
        <v>366</v>
      </c>
      <c r="R5" s="10">
        <v>2</v>
      </c>
      <c r="S5" s="10" t="s">
        <v>368</v>
      </c>
      <c r="T5" s="10" t="str" cm="1">
        <f t="array" ref="T5">_xlfn.SWITCH(S5,"Single Bed","2000","Double Bed","4000","Queen Bed","5000","King Bed","6000")</f>
        <v>5000</v>
      </c>
      <c r="U5" s="11">
        <v>45882</v>
      </c>
      <c r="V5" s="11">
        <v>45883</v>
      </c>
      <c r="W5" s="10">
        <f t="shared" si="0"/>
        <v>1</v>
      </c>
      <c r="X5" s="10">
        <v>3</v>
      </c>
      <c r="Y5" s="21" t="s">
        <v>150</v>
      </c>
    </row>
    <row r="6" spans="1:25" x14ac:dyDescent="0.3">
      <c r="A6" s="17" t="s">
        <v>373</v>
      </c>
      <c r="B6">
        <v>7</v>
      </c>
      <c r="Q6" s="20" t="s">
        <v>367</v>
      </c>
      <c r="R6" s="10">
        <v>1</v>
      </c>
      <c r="S6" s="10" t="s">
        <v>369</v>
      </c>
      <c r="T6" s="10" t="str" cm="1">
        <f t="array" ref="T6">_xlfn.SWITCH(S6,"Single Bed","2000","Double Bed","4000","Queen Bed","5000","King Bed","6000")</f>
        <v>6000</v>
      </c>
      <c r="U6" s="11">
        <v>45727</v>
      </c>
      <c r="V6" s="11">
        <v>45729</v>
      </c>
      <c r="W6" s="10">
        <f t="shared" si="0"/>
        <v>2</v>
      </c>
      <c r="X6" s="10">
        <v>2</v>
      </c>
      <c r="Y6" s="21" t="s">
        <v>150</v>
      </c>
    </row>
    <row r="7" spans="1:25" x14ac:dyDescent="0.3">
      <c r="A7" s="18" t="s">
        <v>377</v>
      </c>
      <c r="B7">
        <v>2</v>
      </c>
      <c r="Q7" s="20" t="s">
        <v>148</v>
      </c>
      <c r="R7" s="10">
        <v>4</v>
      </c>
      <c r="S7" s="10" t="s">
        <v>149</v>
      </c>
      <c r="T7" s="10" t="str" cm="1">
        <f t="array" ref="T7">_xlfn.SWITCH(S7,"Single Bed","2000","Double Bed","4000","Queen Bed","5000","King Bed","6000")</f>
        <v>2000</v>
      </c>
      <c r="U7" s="11">
        <v>46003</v>
      </c>
      <c r="V7" s="11">
        <v>46005</v>
      </c>
      <c r="W7" s="10">
        <f t="shared" si="0"/>
        <v>2</v>
      </c>
      <c r="X7" s="10">
        <v>1</v>
      </c>
      <c r="Y7" s="21" t="s">
        <v>150</v>
      </c>
    </row>
    <row r="8" spans="1:25" x14ac:dyDescent="0.3">
      <c r="A8" s="18" t="s">
        <v>378</v>
      </c>
      <c r="B8">
        <v>1</v>
      </c>
      <c r="Q8" s="20" t="s">
        <v>151</v>
      </c>
      <c r="R8" s="10">
        <v>2</v>
      </c>
      <c r="S8" s="10" t="s">
        <v>149</v>
      </c>
      <c r="T8" s="10" t="str" cm="1">
        <f t="array" ref="T8">_xlfn.SWITCH(S8,"Single Bed","2000","Double Bed","4000","Queen Bed","5000","King Bed","6000")</f>
        <v>2000</v>
      </c>
      <c r="U8" s="11">
        <v>45748</v>
      </c>
      <c r="V8" s="11">
        <v>45748</v>
      </c>
      <c r="W8" s="10">
        <f t="shared" si="0"/>
        <v>0</v>
      </c>
      <c r="X8" s="10">
        <v>1</v>
      </c>
      <c r="Y8" s="21" t="s">
        <v>370</v>
      </c>
    </row>
    <row r="9" spans="1:25" x14ac:dyDescent="0.3">
      <c r="A9" s="18" t="s">
        <v>379</v>
      </c>
      <c r="B9">
        <v>2</v>
      </c>
      <c r="Q9" s="20" t="s">
        <v>366</v>
      </c>
      <c r="R9" s="10">
        <v>2</v>
      </c>
      <c r="S9" s="10" t="s">
        <v>152</v>
      </c>
      <c r="T9" s="10" t="str" cm="1">
        <f t="array" ref="T9">_xlfn.SWITCH(S9,"Single Bed","2000","Double Bed","4000","Queen Bed","5000","King Bed","6000")</f>
        <v>4000</v>
      </c>
      <c r="U9" s="11">
        <v>45788</v>
      </c>
      <c r="V9" s="11">
        <v>45789</v>
      </c>
      <c r="W9" s="10">
        <f t="shared" si="0"/>
        <v>1</v>
      </c>
      <c r="X9" s="10">
        <v>2</v>
      </c>
      <c r="Y9" s="21" t="s">
        <v>370</v>
      </c>
    </row>
    <row r="10" spans="1:25" x14ac:dyDescent="0.3">
      <c r="A10" s="18" t="s">
        <v>380</v>
      </c>
      <c r="B10">
        <v>0</v>
      </c>
      <c r="Q10" s="20" t="s">
        <v>367</v>
      </c>
      <c r="R10" s="10">
        <v>1</v>
      </c>
      <c r="S10" s="10" t="s">
        <v>152</v>
      </c>
      <c r="T10" s="10" t="str" cm="1">
        <f t="array" ref="T10">_xlfn.SWITCH(S10,"Single Bed","2000","Double Bed","4000","Queen Bed","5000","King Bed","6000")</f>
        <v>4000</v>
      </c>
      <c r="U10" s="11">
        <v>45911</v>
      </c>
      <c r="V10" s="11">
        <v>45911</v>
      </c>
      <c r="W10" s="10">
        <f t="shared" si="0"/>
        <v>0</v>
      </c>
      <c r="X10" s="10">
        <v>2</v>
      </c>
      <c r="Y10" s="21" t="s">
        <v>150</v>
      </c>
    </row>
    <row r="11" spans="1:25" x14ac:dyDescent="0.3">
      <c r="A11" s="18" t="s">
        <v>381</v>
      </c>
      <c r="B11">
        <v>2</v>
      </c>
      <c r="Q11" s="20" t="s">
        <v>148</v>
      </c>
      <c r="R11" s="10">
        <v>3</v>
      </c>
      <c r="S11" s="10" t="s">
        <v>149</v>
      </c>
      <c r="T11" s="10" t="str" cm="1">
        <f t="array" ref="T11">_xlfn.SWITCH(S11,"Single Bed","2000","Double Bed","4000","Queen Bed","5000","King Bed","6000")</f>
        <v>2000</v>
      </c>
      <c r="U11" s="11">
        <v>45873</v>
      </c>
      <c r="V11" s="11">
        <v>45874</v>
      </c>
      <c r="W11" s="10">
        <f t="shared" si="0"/>
        <v>1</v>
      </c>
      <c r="X11" s="10">
        <v>1</v>
      </c>
      <c r="Y11" s="21" t="s">
        <v>150</v>
      </c>
    </row>
    <row r="12" spans="1:25" x14ac:dyDescent="0.3">
      <c r="A12" s="16" t="s">
        <v>368</v>
      </c>
      <c r="B12">
        <v>8</v>
      </c>
      <c r="Q12" s="20" t="s">
        <v>151</v>
      </c>
      <c r="R12" s="10">
        <v>2</v>
      </c>
      <c r="S12" s="10" t="s">
        <v>152</v>
      </c>
      <c r="T12" s="10" t="str" cm="1">
        <f t="array" ref="T12">_xlfn.SWITCH(S12,"Single Bed","2000","Double Bed","4000","Queen Bed","5000","King Bed","6000")</f>
        <v>4000</v>
      </c>
      <c r="U12" s="11">
        <v>45816</v>
      </c>
      <c r="V12" s="11">
        <v>45817</v>
      </c>
      <c r="W12" s="10">
        <f t="shared" si="0"/>
        <v>1</v>
      </c>
      <c r="X12" s="10">
        <v>2</v>
      </c>
      <c r="Y12" s="21" t="s">
        <v>150</v>
      </c>
    </row>
    <row r="13" spans="1:25" x14ac:dyDescent="0.3">
      <c r="A13" s="17" t="s">
        <v>374</v>
      </c>
      <c r="B13">
        <v>8</v>
      </c>
      <c r="Q13" s="20" t="s">
        <v>366</v>
      </c>
      <c r="R13" s="10">
        <v>1</v>
      </c>
      <c r="S13" s="10" t="s">
        <v>368</v>
      </c>
      <c r="T13" s="10" t="str" cm="1">
        <f t="array" ref="T13">_xlfn.SWITCH(S13,"Single Bed","2000","Double Bed","4000","Queen Bed","5000","King Bed","6000")</f>
        <v>5000</v>
      </c>
      <c r="U13" s="11">
        <v>45728</v>
      </c>
      <c r="V13" s="11">
        <v>45730</v>
      </c>
      <c r="W13" s="10">
        <f t="shared" si="0"/>
        <v>2</v>
      </c>
      <c r="X13" s="10">
        <v>3</v>
      </c>
      <c r="Y13" s="21" t="s">
        <v>370</v>
      </c>
    </row>
    <row r="14" spans="1:25" x14ac:dyDescent="0.3">
      <c r="A14" s="18" t="s">
        <v>377</v>
      </c>
      <c r="B14">
        <v>2</v>
      </c>
      <c r="Q14" s="20" t="s">
        <v>367</v>
      </c>
      <c r="R14" s="10">
        <v>4</v>
      </c>
      <c r="S14" s="10" t="s">
        <v>369</v>
      </c>
      <c r="T14" s="10" t="str" cm="1">
        <f t="array" ref="T14">_xlfn.SWITCH(S14,"Single Bed","2000","Double Bed","4000","Queen Bed","5000","King Bed","6000")</f>
        <v>6000</v>
      </c>
      <c r="U14" s="11">
        <v>45699</v>
      </c>
      <c r="V14" s="11">
        <v>45699</v>
      </c>
      <c r="W14" s="10">
        <f t="shared" si="0"/>
        <v>0</v>
      </c>
      <c r="X14" s="10">
        <v>3</v>
      </c>
      <c r="Y14" s="21" t="s">
        <v>370</v>
      </c>
    </row>
    <row r="15" spans="1:25" x14ac:dyDescent="0.3">
      <c r="A15" s="18" t="s">
        <v>378</v>
      </c>
      <c r="B15">
        <v>1</v>
      </c>
      <c r="Q15" s="20" t="s">
        <v>148</v>
      </c>
      <c r="R15" s="10">
        <v>2</v>
      </c>
      <c r="S15" s="10" t="s">
        <v>149</v>
      </c>
      <c r="T15" s="10" t="str" cm="1">
        <f t="array" ref="T15">_xlfn.SWITCH(S15,"Single Bed","2000","Double Bed","4000","Queen Bed","5000","King Bed","6000")</f>
        <v>2000</v>
      </c>
      <c r="U15" s="11">
        <v>45882</v>
      </c>
      <c r="V15" s="11">
        <v>45883</v>
      </c>
      <c r="W15" s="10">
        <f t="shared" si="0"/>
        <v>1</v>
      </c>
      <c r="X15" s="10">
        <v>1</v>
      </c>
      <c r="Y15" s="21" t="s">
        <v>150</v>
      </c>
    </row>
    <row r="16" spans="1:25" x14ac:dyDescent="0.3">
      <c r="A16" s="18" t="s">
        <v>379</v>
      </c>
      <c r="B16">
        <v>3</v>
      </c>
      <c r="Q16" s="20" t="s">
        <v>151</v>
      </c>
      <c r="R16" s="10">
        <v>2</v>
      </c>
      <c r="S16" s="10" t="s">
        <v>149</v>
      </c>
      <c r="T16" s="10" t="str" cm="1">
        <f t="array" ref="T16">_xlfn.SWITCH(S16,"Single Bed","2000","Double Bed","4000","Queen Bed","5000","King Bed","6000")</f>
        <v>2000</v>
      </c>
      <c r="U16" s="11">
        <v>45727</v>
      </c>
      <c r="V16" s="11">
        <v>45729</v>
      </c>
      <c r="W16" s="10">
        <f t="shared" si="0"/>
        <v>2</v>
      </c>
      <c r="X16" s="10">
        <v>1</v>
      </c>
      <c r="Y16" s="21" t="s">
        <v>150</v>
      </c>
    </row>
    <row r="17" spans="1:25" x14ac:dyDescent="0.3">
      <c r="A17" s="18" t="s">
        <v>381</v>
      </c>
      <c r="B17">
        <v>2</v>
      </c>
      <c r="Q17" s="20" t="s">
        <v>366</v>
      </c>
      <c r="R17" s="10">
        <v>1</v>
      </c>
      <c r="S17" s="10" t="s">
        <v>152</v>
      </c>
      <c r="T17" s="10" t="str" cm="1">
        <f t="array" ref="T17">_xlfn.SWITCH(S17,"Single Bed","2000","Double Bed","4000","Queen Bed","5000","King Bed","6000")</f>
        <v>4000</v>
      </c>
      <c r="U17" s="11">
        <v>46003</v>
      </c>
      <c r="V17" s="11">
        <v>46005</v>
      </c>
      <c r="W17" s="10">
        <f t="shared" si="0"/>
        <v>2</v>
      </c>
      <c r="X17" s="10">
        <v>2</v>
      </c>
      <c r="Y17" s="21" t="s">
        <v>150</v>
      </c>
    </row>
    <row r="18" spans="1:25" x14ac:dyDescent="0.3">
      <c r="A18" s="15" t="s">
        <v>151</v>
      </c>
      <c r="B18">
        <v>7</v>
      </c>
      <c r="Q18" s="20" t="s">
        <v>367</v>
      </c>
      <c r="R18" s="10">
        <v>3</v>
      </c>
      <c r="S18" s="10" t="s">
        <v>152</v>
      </c>
      <c r="T18" s="10" t="str" cm="1">
        <f t="array" ref="T18">_xlfn.SWITCH(S18,"Single Bed","2000","Double Bed","4000","Queen Bed","5000","King Bed","6000")</f>
        <v>4000</v>
      </c>
      <c r="U18" s="11">
        <v>45748</v>
      </c>
      <c r="V18" s="11">
        <v>45748</v>
      </c>
      <c r="W18" s="10">
        <f t="shared" si="0"/>
        <v>0</v>
      </c>
      <c r="X18" s="10">
        <v>2</v>
      </c>
      <c r="Y18" s="21" t="s">
        <v>150</v>
      </c>
    </row>
    <row r="19" spans="1:25" x14ac:dyDescent="0.3">
      <c r="A19" s="16" t="s">
        <v>152</v>
      </c>
      <c r="B19">
        <v>4</v>
      </c>
      <c r="Q19" s="20" t="s">
        <v>148</v>
      </c>
      <c r="R19" s="10">
        <v>2</v>
      </c>
      <c r="S19" s="10" t="s">
        <v>149</v>
      </c>
      <c r="T19" s="10" t="str" cm="1">
        <f t="array" ref="T19">_xlfn.SWITCH(S19,"Single Bed","2000","Double Bed","4000","Queen Bed","5000","King Bed","6000")</f>
        <v>2000</v>
      </c>
      <c r="U19" s="11">
        <v>45788</v>
      </c>
      <c r="V19" s="11">
        <v>45789</v>
      </c>
      <c r="W19" s="10">
        <f t="shared" si="0"/>
        <v>1</v>
      </c>
      <c r="X19" s="10">
        <v>1</v>
      </c>
      <c r="Y19" s="21" t="s">
        <v>370</v>
      </c>
    </row>
    <row r="20" spans="1:25" x14ac:dyDescent="0.3">
      <c r="A20" s="17" t="s">
        <v>373</v>
      </c>
      <c r="B20">
        <v>4</v>
      </c>
      <c r="Q20" s="20" t="s">
        <v>151</v>
      </c>
      <c r="R20" s="10">
        <v>1</v>
      </c>
      <c r="S20" s="10" t="s">
        <v>152</v>
      </c>
      <c r="T20" s="10" t="str" cm="1">
        <f t="array" ref="T20">_xlfn.SWITCH(S20,"Single Bed","2000","Double Bed","4000","Queen Bed","5000","King Bed","6000")</f>
        <v>4000</v>
      </c>
      <c r="U20" s="11">
        <v>45911</v>
      </c>
      <c r="V20" s="11">
        <v>45911</v>
      </c>
      <c r="W20" s="10">
        <f t="shared" si="0"/>
        <v>0</v>
      </c>
      <c r="X20" s="10">
        <v>2</v>
      </c>
      <c r="Y20" s="21" t="s">
        <v>150</v>
      </c>
    </row>
    <row r="21" spans="1:25" x14ac:dyDescent="0.3">
      <c r="A21" s="18" t="s">
        <v>382</v>
      </c>
      <c r="B21">
        <v>0</v>
      </c>
      <c r="Q21" s="20" t="s">
        <v>366</v>
      </c>
      <c r="R21" s="10">
        <v>4</v>
      </c>
      <c r="S21" s="10" t="s">
        <v>368</v>
      </c>
      <c r="T21" s="10" t="str" cm="1">
        <f t="array" ref="T21">_xlfn.SWITCH(S21,"Single Bed","2000","Double Bed","4000","Queen Bed","5000","King Bed","6000")</f>
        <v>5000</v>
      </c>
      <c r="U21" s="11">
        <v>45873</v>
      </c>
      <c r="V21" s="11">
        <v>45874</v>
      </c>
      <c r="W21" s="10">
        <f t="shared" si="0"/>
        <v>1</v>
      </c>
      <c r="X21" s="10">
        <v>4</v>
      </c>
      <c r="Y21" s="21" t="s">
        <v>150</v>
      </c>
    </row>
    <row r="22" spans="1:25" x14ac:dyDescent="0.3">
      <c r="A22" s="18" t="s">
        <v>377</v>
      </c>
      <c r="B22">
        <v>2</v>
      </c>
      <c r="Q22" s="20" t="s">
        <v>367</v>
      </c>
      <c r="R22" s="10">
        <v>2</v>
      </c>
      <c r="S22" s="10" t="s">
        <v>369</v>
      </c>
      <c r="T22" s="10" t="str" cm="1">
        <f t="array" ref="T22">_xlfn.SWITCH(S22,"Single Bed","2000","Double Bed","4000","Queen Bed","5000","King Bed","6000")</f>
        <v>6000</v>
      </c>
      <c r="U22" s="11">
        <v>45816</v>
      </c>
      <c r="V22" s="11">
        <v>45817</v>
      </c>
      <c r="W22" s="10">
        <f t="shared" si="0"/>
        <v>1</v>
      </c>
      <c r="X22" s="10">
        <v>5</v>
      </c>
      <c r="Y22" s="21" t="s">
        <v>150</v>
      </c>
    </row>
    <row r="23" spans="1:25" x14ac:dyDescent="0.3">
      <c r="A23" s="18" t="s">
        <v>383</v>
      </c>
      <c r="B23">
        <v>0</v>
      </c>
      <c r="Q23" s="20" t="s">
        <v>148</v>
      </c>
      <c r="R23" s="10">
        <v>2</v>
      </c>
      <c r="S23" s="10" t="s">
        <v>149</v>
      </c>
      <c r="T23" s="10" t="str" cm="1">
        <f t="array" ref="T23">_xlfn.SWITCH(S23,"Single Bed","2000","Double Bed","4000","Queen Bed","5000","King Bed","6000")</f>
        <v>2000</v>
      </c>
      <c r="U23" s="11">
        <v>45728</v>
      </c>
      <c r="V23" s="11">
        <v>45730</v>
      </c>
      <c r="W23" s="10">
        <f t="shared" si="0"/>
        <v>2</v>
      </c>
      <c r="X23" s="10">
        <v>1</v>
      </c>
      <c r="Y23" s="21" t="s">
        <v>370</v>
      </c>
    </row>
    <row r="24" spans="1:25" x14ac:dyDescent="0.3">
      <c r="A24" s="18" t="s">
        <v>378</v>
      </c>
      <c r="B24">
        <v>1</v>
      </c>
      <c r="Q24" s="20" t="s">
        <v>151</v>
      </c>
      <c r="R24" s="10">
        <v>1</v>
      </c>
      <c r="S24" s="10" t="s">
        <v>149</v>
      </c>
      <c r="T24" s="10" t="str" cm="1">
        <f t="array" ref="T24">_xlfn.SWITCH(S24,"Single Bed","2000","Double Bed","4000","Queen Bed","5000","King Bed","6000")</f>
        <v>2000</v>
      </c>
      <c r="U24" s="11">
        <v>45699</v>
      </c>
      <c r="V24" s="11">
        <v>45699</v>
      </c>
      <c r="W24" s="10">
        <f t="shared" si="0"/>
        <v>0</v>
      </c>
      <c r="X24" s="10">
        <v>1</v>
      </c>
      <c r="Y24" s="21" t="s">
        <v>370</v>
      </c>
    </row>
    <row r="25" spans="1:25" x14ac:dyDescent="0.3">
      <c r="A25" s="18" t="s">
        <v>384</v>
      </c>
      <c r="B25">
        <v>1</v>
      </c>
      <c r="Q25" s="20" t="s">
        <v>366</v>
      </c>
      <c r="R25" s="10">
        <v>3</v>
      </c>
      <c r="S25" s="10" t="s">
        <v>152</v>
      </c>
      <c r="T25" s="10" t="str" cm="1">
        <f t="array" ref="T25">_xlfn.SWITCH(S25,"Single Bed","2000","Double Bed","4000","Queen Bed","5000","King Bed","6000")</f>
        <v>4000</v>
      </c>
      <c r="U25" s="11">
        <v>45882</v>
      </c>
      <c r="V25" s="11">
        <v>45883</v>
      </c>
      <c r="W25" s="10">
        <f t="shared" si="0"/>
        <v>1</v>
      </c>
      <c r="X25" s="10">
        <v>2</v>
      </c>
      <c r="Y25" s="21" t="s">
        <v>150</v>
      </c>
    </row>
    <row r="26" spans="1:25" x14ac:dyDescent="0.3">
      <c r="A26" s="18" t="s">
        <v>380</v>
      </c>
      <c r="B26">
        <v>0</v>
      </c>
      <c r="Q26" s="20" t="s">
        <v>367</v>
      </c>
      <c r="R26" s="10">
        <v>2</v>
      </c>
      <c r="S26" s="10" t="s">
        <v>152</v>
      </c>
      <c r="T26" s="10" t="str" cm="1">
        <f t="array" ref="T26">_xlfn.SWITCH(S26,"Single Bed","2000","Double Bed","4000","Queen Bed","5000","King Bed","6000")</f>
        <v>4000</v>
      </c>
      <c r="U26" s="11">
        <v>45727</v>
      </c>
      <c r="V26" s="11">
        <v>45729</v>
      </c>
      <c r="W26" s="10">
        <f t="shared" si="0"/>
        <v>2</v>
      </c>
      <c r="X26" s="10">
        <v>2</v>
      </c>
      <c r="Y26" s="21" t="s">
        <v>150</v>
      </c>
    </row>
    <row r="27" spans="1:25" x14ac:dyDescent="0.3">
      <c r="A27" s="16" t="s">
        <v>149</v>
      </c>
      <c r="B27">
        <v>3</v>
      </c>
      <c r="Q27" s="20" t="s">
        <v>148</v>
      </c>
      <c r="R27" s="10">
        <v>1</v>
      </c>
      <c r="S27" s="10" t="s">
        <v>149</v>
      </c>
      <c r="T27" s="10" t="str" cm="1">
        <f t="array" ref="T27">_xlfn.SWITCH(S27,"Single Bed","2000","Double Bed","4000","Queen Bed","5000","King Bed","6000")</f>
        <v>2000</v>
      </c>
      <c r="U27" s="11">
        <v>46003</v>
      </c>
      <c r="V27" s="11">
        <v>46005</v>
      </c>
      <c r="W27" s="10">
        <f t="shared" si="0"/>
        <v>2</v>
      </c>
      <c r="X27" s="10">
        <v>1</v>
      </c>
      <c r="Y27" s="21" t="s">
        <v>150</v>
      </c>
    </row>
    <row r="28" spans="1:25" x14ac:dyDescent="0.3">
      <c r="A28" s="17" t="s">
        <v>375</v>
      </c>
      <c r="B28">
        <v>3</v>
      </c>
      <c r="Q28" s="20" t="s">
        <v>151</v>
      </c>
      <c r="R28" s="10">
        <v>4</v>
      </c>
      <c r="S28" s="10" t="s">
        <v>152</v>
      </c>
      <c r="T28" s="10" t="str" cm="1">
        <f t="array" ref="T28">_xlfn.SWITCH(S28,"Single Bed","2000","Double Bed","4000","Queen Bed","5000","King Bed","6000")</f>
        <v>4000</v>
      </c>
      <c r="U28" s="11">
        <v>45748</v>
      </c>
      <c r="V28" s="11">
        <v>45748</v>
      </c>
      <c r="W28" s="10">
        <f t="shared" si="0"/>
        <v>0</v>
      </c>
      <c r="X28" s="10">
        <v>2</v>
      </c>
      <c r="Y28" s="21" t="s">
        <v>370</v>
      </c>
    </row>
    <row r="29" spans="1:25" x14ac:dyDescent="0.3">
      <c r="A29" s="18" t="s">
        <v>382</v>
      </c>
      <c r="B29">
        <v>0</v>
      </c>
      <c r="Q29" s="20" t="s">
        <v>366</v>
      </c>
      <c r="R29" s="10">
        <v>2</v>
      </c>
      <c r="S29" s="10" t="s">
        <v>368</v>
      </c>
      <c r="T29" s="10" t="str" cm="1">
        <f t="array" ref="T29">_xlfn.SWITCH(S29,"Single Bed","2000","Double Bed","4000","Queen Bed","5000","King Bed","6000")</f>
        <v>5000</v>
      </c>
      <c r="U29" s="11">
        <v>45788</v>
      </c>
      <c r="V29" s="11">
        <v>45789</v>
      </c>
      <c r="W29" s="10">
        <f t="shared" si="0"/>
        <v>1</v>
      </c>
      <c r="X29" s="10">
        <v>3</v>
      </c>
      <c r="Y29" s="21" t="s">
        <v>370</v>
      </c>
    </row>
    <row r="30" spans="1:25" x14ac:dyDescent="0.3">
      <c r="A30" s="18" t="s">
        <v>377</v>
      </c>
      <c r="B30">
        <v>2</v>
      </c>
      <c r="Q30" s="20" t="s">
        <v>367</v>
      </c>
      <c r="R30" s="10">
        <v>2</v>
      </c>
      <c r="S30" s="10" t="s">
        <v>369</v>
      </c>
      <c r="T30" s="10" t="str" cm="1">
        <f t="array" ref="T30">_xlfn.SWITCH(S30,"Single Bed","2000","Double Bed","4000","Queen Bed","5000","King Bed","6000")</f>
        <v>6000</v>
      </c>
      <c r="U30" s="11">
        <v>45911</v>
      </c>
      <c r="V30" s="11">
        <v>45911</v>
      </c>
      <c r="W30" s="10">
        <f t="shared" si="0"/>
        <v>0</v>
      </c>
      <c r="X30" s="10">
        <v>4</v>
      </c>
      <c r="Y30" s="21" t="s">
        <v>150</v>
      </c>
    </row>
    <row r="31" spans="1:25" x14ac:dyDescent="0.3">
      <c r="A31" s="18" t="s">
        <v>383</v>
      </c>
      <c r="B31">
        <v>0</v>
      </c>
      <c r="Q31" s="20" t="s">
        <v>148</v>
      </c>
      <c r="R31" s="10">
        <v>4</v>
      </c>
      <c r="S31" s="10" t="s">
        <v>149</v>
      </c>
      <c r="T31" s="10" t="str" cm="1">
        <f t="array" ref="T31">_xlfn.SWITCH(S31,"Single Bed","2000","Double Bed","4000","Queen Bed","5000","King Bed","6000")</f>
        <v>2000</v>
      </c>
      <c r="U31" s="11">
        <v>45873</v>
      </c>
      <c r="V31" s="11">
        <v>45874</v>
      </c>
      <c r="W31" s="10">
        <f t="shared" si="0"/>
        <v>1</v>
      </c>
      <c r="X31" s="10">
        <v>1</v>
      </c>
      <c r="Y31" s="21" t="s">
        <v>150</v>
      </c>
    </row>
    <row r="32" spans="1:25" x14ac:dyDescent="0.3">
      <c r="A32" s="18" t="s">
        <v>384</v>
      </c>
      <c r="B32">
        <v>1</v>
      </c>
      <c r="Q32" s="20" t="s">
        <v>151</v>
      </c>
      <c r="R32" s="10">
        <v>1</v>
      </c>
      <c r="S32" s="10" t="s">
        <v>149</v>
      </c>
      <c r="T32" s="10" t="str" cm="1">
        <f t="array" ref="T32">_xlfn.SWITCH(S32,"Single Bed","2000","Double Bed","4000","Queen Bed","5000","King Bed","6000")</f>
        <v>2000</v>
      </c>
      <c r="U32" s="11">
        <v>45816</v>
      </c>
      <c r="V32" s="11">
        <v>45817</v>
      </c>
      <c r="W32" s="10">
        <f t="shared" si="0"/>
        <v>1</v>
      </c>
      <c r="X32" s="10">
        <v>1</v>
      </c>
      <c r="Y32" s="21" t="s">
        <v>150</v>
      </c>
    </row>
    <row r="33" spans="1:25" x14ac:dyDescent="0.3">
      <c r="A33" s="18" t="s">
        <v>380</v>
      </c>
      <c r="B33">
        <v>0</v>
      </c>
      <c r="Q33" s="20" t="s">
        <v>366</v>
      </c>
      <c r="R33" s="10">
        <v>3</v>
      </c>
      <c r="S33" s="10" t="s">
        <v>152</v>
      </c>
      <c r="T33" s="10" t="str" cm="1">
        <f t="array" ref="T33">_xlfn.SWITCH(S33,"Single Bed","2000","Double Bed","4000","Queen Bed","5000","King Bed","6000")</f>
        <v>4000</v>
      </c>
      <c r="U33" s="11">
        <v>45728</v>
      </c>
      <c r="V33" s="11">
        <v>45730</v>
      </c>
      <c r="W33" s="10">
        <f t="shared" si="0"/>
        <v>2</v>
      </c>
      <c r="X33" s="10">
        <v>2</v>
      </c>
      <c r="Y33" s="21" t="s">
        <v>150</v>
      </c>
    </row>
    <row r="34" spans="1:25" x14ac:dyDescent="0.3">
      <c r="A34" s="15" t="s">
        <v>148</v>
      </c>
      <c r="B34">
        <v>19</v>
      </c>
      <c r="Q34" s="20" t="s">
        <v>367</v>
      </c>
      <c r="R34" s="10">
        <v>2</v>
      </c>
      <c r="S34" s="10" t="s">
        <v>152</v>
      </c>
      <c r="T34" s="10" t="str" cm="1">
        <f t="array" ref="T34">_xlfn.SWITCH(S34,"Single Bed","2000","Double Bed","4000","Queen Bed","5000","King Bed","6000")</f>
        <v>4000</v>
      </c>
      <c r="U34" s="11">
        <v>45699</v>
      </c>
      <c r="V34" s="11">
        <v>45699</v>
      </c>
      <c r="W34" s="10">
        <f t="shared" si="0"/>
        <v>0</v>
      </c>
      <c r="X34" s="10">
        <v>2</v>
      </c>
      <c r="Y34" s="21" t="s">
        <v>370</v>
      </c>
    </row>
    <row r="35" spans="1:25" x14ac:dyDescent="0.3">
      <c r="A35" s="16" t="s">
        <v>368</v>
      </c>
      <c r="B35">
        <v>1</v>
      </c>
      <c r="Q35" s="20" t="s">
        <v>148</v>
      </c>
      <c r="R35" s="10">
        <v>1</v>
      </c>
      <c r="S35" s="10" t="s">
        <v>149</v>
      </c>
      <c r="T35" s="10" t="str" cm="1">
        <f t="array" ref="T35">_xlfn.SWITCH(S35,"Single Bed","2000","Double Bed","4000","Queen Bed","5000","King Bed","6000")</f>
        <v>2000</v>
      </c>
      <c r="U35" s="11">
        <v>45882</v>
      </c>
      <c r="V35" s="11">
        <v>45883</v>
      </c>
      <c r="W35" s="10">
        <f t="shared" si="0"/>
        <v>1</v>
      </c>
      <c r="X35" s="10">
        <v>1</v>
      </c>
      <c r="Y35" s="21" t="s">
        <v>150</v>
      </c>
    </row>
    <row r="36" spans="1:25" x14ac:dyDescent="0.3">
      <c r="A36" s="17" t="s">
        <v>374</v>
      </c>
      <c r="B36">
        <v>1</v>
      </c>
      <c r="Q36" s="20" t="s">
        <v>151</v>
      </c>
      <c r="R36" s="10">
        <v>4</v>
      </c>
      <c r="S36" s="10" t="s">
        <v>152</v>
      </c>
      <c r="T36" s="10" t="str" cm="1">
        <f t="array" ref="T36">_xlfn.SWITCH(S36,"Single Bed","2000","Double Bed","4000","Queen Bed","5000","King Bed","6000")</f>
        <v>4000</v>
      </c>
      <c r="U36" s="11">
        <v>45727</v>
      </c>
      <c r="V36" s="11">
        <v>45729</v>
      </c>
      <c r="W36" s="10">
        <f t="shared" si="0"/>
        <v>2</v>
      </c>
      <c r="X36" s="10">
        <v>2</v>
      </c>
      <c r="Y36" s="21" t="s">
        <v>150</v>
      </c>
    </row>
    <row r="37" spans="1:25" x14ac:dyDescent="0.3">
      <c r="A37" s="18" t="s">
        <v>384</v>
      </c>
      <c r="B37">
        <v>1</v>
      </c>
      <c r="Q37" s="20" t="s">
        <v>366</v>
      </c>
      <c r="R37" s="10">
        <v>2</v>
      </c>
      <c r="S37" s="10" t="s">
        <v>368</v>
      </c>
      <c r="T37" s="10" t="str" cm="1">
        <f t="array" ref="T37">_xlfn.SWITCH(S37,"Single Bed","2000","Double Bed","4000","Queen Bed","5000","King Bed","6000")</f>
        <v>5000</v>
      </c>
      <c r="U37" s="11">
        <v>46003</v>
      </c>
      <c r="V37" s="11">
        <v>46005</v>
      </c>
      <c r="W37" s="10">
        <f t="shared" si="0"/>
        <v>2</v>
      </c>
      <c r="X37" s="10">
        <v>3</v>
      </c>
      <c r="Y37" s="21" t="s">
        <v>150</v>
      </c>
    </row>
    <row r="38" spans="1:25" x14ac:dyDescent="0.3">
      <c r="A38" s="16" t="s">
        <v>149</v>
      </c>
      <c r="B38">
        <v>18</v>
      </c>
      <c r="Q38" s="20" t="s">
        <v>367</v>
      </c>
      <c r="R38" s="10">
        <v>2</v>
      </c>
      <c r="S38" s="10" t="s">
        <v>369</v>
      </c>
      <c r="T38" s="10" t="str" cm="1">
        <f t="array" ref="T38">_xlfn.SWITCH(S38,"Single Bed","2000","Double Bed","4000","Queen Bed","5000","King Bed","6000")</f>
        <v>6000</v>
      </c>
      <c r="U38" s="11">
        <v>45748</v>
      </c>
      <c r="V38" s="11">
        <v>45748</v>
      </c>
      <c r="W38" s="10">
        <f t="shared" si="0"/>
        <v>0</v>
      </c>
      <c r="X38" s="10">
        <v>3</v>
      </c>
      <c r="Y38" s="21" t="s">
        <v>370</v>
      </c>
    </row>
    <row r="39" spans="1:25" x14ac:dyDescent="0.3">
      <c r="A39" s="17" t="s">
        <v>375</v>
      </c>
      <c r="B39">
        <v>18</v>
      </c>
      <c r="Q39" s="20" t="s">
        <v>148</v>
      </c>
      <c r="R39" s="10">
        <v>1</v>
      </c>
      <c r="S39" s="10" t="s">
        <v>149</v>
      </c>
      <c r="T39" s="10" t="str" cm="1">
        <f t="array" ref="T39">_xlfn.SWITCH(S39,"Single Bed","2000","Double Bed","4000","Queen Bed","5000","King Bed","6000")</f>
        <v>2000</v>
      </c>
      <c r="U39" s="11">
        <v>45788</v>
      </c>
      <c r="V39" s="11">
        <v>45789</v>
      </c>
      <c r="W39" s="10">
        <f t="shared" si="0"/>
        <v>1</v>
      </c>
      <c r="X39" s="10">
        <v>1</v>
      </c>
      <c r="Y39" s="21" t="s">
        <v>370</v>
      </c>
    </row>
    <row r="40" spans="1:25" x14ac:dyDescent="0.3">
      <c r="A40" s="18" t="s">
        <v>377</v>
      </c>
      <c r="B40">
        <v>6</v>
      </c>
      <c r="Q40" s="20" t="s">
        <v>151</v>
      </c>
      <c r="R40" s="10">
        <v>3</v>
      </c>
      <c r="S40" s="10" t="s">
        <v>149</v>
      </c>
      <c r="T40" s="10" t="str" cm="1">
        <f t="array" ref="T40">_xlfn.SWITCH(S40,"Single Bed","2000","Double Bed","4000","Queen Bed","5000","King Bed","6000")</f>
        <v>2000</v>
      </c>
      <c r="U40" s="11">
        <v>45911</v>
      </c>
      <c r="V40" s="11">
        <v>45911</v>
      </c>
      <c r="W40" s="10">
        <f t="shared" si="0"/>
        <v>0</v>
      </c>
      <c r="X40" s="10">
        <v>1</v>
      </c>
      <c r="Y40" s="21" t="s">
        <v>150</v>
      </c>
    </row>
    <row r="41" spans="1:25" x14ac:dyDescent="0.3">
      <c r="A41" s="18" t="s">
        <v>383</v>
      </c>
      <c r="B41">
        <v>0</v>
      </c>
      <c r="Q41" s="20" t="s">
        <v>366</v>
      </c>
      <c r="R41" s="10">
        <v>2</v>
      </c>
      <c r="S41" s="10" t="s">
        <v>152</v>
      </c>
      <c r="T41" s="10" t="str" cm="1">
        <f t="array" ref="T41">_xlfn.SWITCH(S41,"Single Bed","2000","Double Bed","4000","Queen Bed","5000","King Bed","6000")</f>
        <v>4000</v>
      </c>
      <c r="U41" s="11">
        <v>45873</v>
      </c>
      <c r="V41" s="11">
        <v>45874</v>
      </c>
      <c r="W41" s="10">
        <f t="shared" si="0"/>
        <v>1</v>
      </c>
      <c r="X41" s="10">
        <v>3</v>
      </c>
      <c r="Y41" s="21" t="s">
        <v>150</v>
      </c>
    </row>
    <row r="42" spans="1:25" x14ac:dyDescent="0.3">
      <c r="A42" s="18" t="s">
        <v>378</v>
      </c>
      <c r="B42">
        <v>2</v>
      </c>
      <c r="Q42" s="20" t="s">
        <v>367</v>
      </c>
      <c r="R42" s="10">
        <v>1</v>
      </c>
      <c r="S42" s="10" t="s">
        <v>152</v>
      </c>
      <c r="T42" s="10" t="str" cm="1">
        <f t="array" ref="T42">_xlfn.SWITCH(S42,"Single Bed","2000","Double Bed","4000","Queen Bed","5000","King Bed","6000")</f>
        <v>4000</v>
      </c>
      <c r="U42" s="11">
        <v>45816</v>
      </c>
      <c r="V42" s="11">
        <v>45817</v>
      </c>
      <c r="W42" s="10">
        <f t="shared" si="0"/>
        <v>1</v>
      </c>
      <c r="X42" s="10">
        <v>1</v>
      </c>
      <c r="Y42" s="21" t="s">
        <v>150</v>
      </c>
    </row>
    <row r="43" spans="1:25" x14ac:dyDescent="0.3">
      <c r="A43" s="18" t="s">
        <v>379</v>
      </c>
      <c r="B43">
        <v>4</v>
      </c>
      <c r="Q43" s="20" t="s">
        <v>148</v>
      </c>
      <c r="R43" s="10">
        <v>4</v>
      </c>
      <c r="S43" s="10" t="s">
        <v>149</v>
      </c>
      <c r="T43" s="10" t="str" cm="1">
        <f t="array" ref="T43">_xlfn.SWITCH(S43,"Single Bed","2000","Double Bed","4000","Queen Bed","5000","King Bed","6000")</f>
        <v>2000</v>
      </c>
      <c r="U43" s="11">
        <v>45728</v>
      </c>
      <c r="V43" s="11">
        <v>45730</v>
      </c>
      <c r="W43" s="10">
        <f t="shared" si="0"/>
        <v>2</v>
      </c>
      <c r="X43" s="10">
        <v>2</v>
      </c>
      <c r="Y43" s="21" t="s">
        <v>370</v>
      </c>
    </row>
    <row r="44" spans="1:25" x14ac:dyDescent="0.3">
      <c r="A44" s="18" t="s">
        <v>381</v>
      </c>
      <c r="B44">
        <v>6</v>
      </c>
      <c r="Q44" s="20" t="s">
        <v>151</v>
      </c>
      <c r="R44" s="10">
        <v>2</v>
      </c>
      <c r="S44" s="10" t="s">
        <v>152</v>
      </c>
      <c r="T44" s="10" t="str" cm="1">
        <f t="array" ref="T44">_xlfn.SWITCH(S44,"Single Bed","2000","Double Bed","4000","Queen Bed","5000","King Bed","6000")</f>
        <v>4000</v>
      </c>
      <c r="U44" s="11">
        <v>45699</v>
      </c>
      <c r="V44" s="11">
        <v>45699</v>
      </c>
      <c r="W44" s="10">
        <f t="shared" si="0"/>
        <v>0</v>
      </c>
      <c r="X44" s="10">
        <v>3</v>
      </c>
      <c r="Y44" s="21" t="s">
        <v>370</v>
      </c>
    </row>
    <row r="45" spans="1:25" x14ac:dyDescent="0.3">
      <c r="A45" s="15" t="s">
        <v>367</v>
      </c>
      <c r="B45">
        <v>9</v>
      </c>
      <c r="Q45" s="20" t="s">
        <v>366</v>
      </c>
      <c r="R45" s="10">
        <v>2</v>
      </c>
      <c r="S45" s="10" t="s">
        <v>368</v>
      </c>
      <c r="T45" s="10" t="str" cm="1">
        <f t="array" ref="T45">_xlfn.SWITCH(S45,"Single Bed","2000","Double Bed","4000","Queen Bed","5000","King Bed","6000")</f>
        <v>5000</v>
      </c>
      <c r="U45" s="11">
        <v>45882</v>
      </c>
      <c r="V45" s="11">
        <v>45883</v>
      </c>
      <c r="W45" s="10">
        <f t="shared" si="0"/>
        <v>1</v>
      </c>
      <c r="X45" s="10">
        <v>3</v>
      </c>
      <c r="Y45" s="21" t="s">
        <v>150</v>
      </c>
    </row>
    <row r="46" spans="1:25" x14ac:dyDescent="0.3">
      <c r="A46" s="16" t="s">
        <v>152</v>
      </c>
      <c r="B46">
        <v>3</v>
      </c>
      <c r="Q46" s="20" t="s">
        <v>367</v>
      </c>
      <c r="R46" s="10">
        <v>1</v>
      </c>
      <c r="S46" s="10" t="s">
        <v>369</v>
      </c>
      <c r="T46" s="10" t="str" cm="1">
        <f t="array" ref="T46">_xlfn.SWITCH(S46,"Single Bed","2000","Double Bed","4000","Queen Bed","5000","King Bed","6000")</f>
        <v>6000</v>
      </c>
      <c r="U46" s="11">
        <v>45727</v>
      </c>
      <c r="V46" s="11">
        <v>45729</v>
      </c>
      <c r="W46" s="10">
        <f t="shared" si="0"/>
        <v>2</v>
      </c>
      <c r="X46" s="10">
        <v>4</v>
      </c>
      <c r="Y46" s="21" t="s">
        <v>150</v>
      </c>
    </row>
    <row r="47" spans="1:25" x14ac:dyDescent="0.3">
      <c r="A47" s="17" t="s">
        <v>373</v>
      </c>
      <c r="B47">
        <v>3</v>
      </c>
      <c r="Q47" s="20" t="s">
        <v>148</v>
      </c>
      <c r="R47" s="10">
        <v>3</v>
      </c>
      <c r="S47" s="10" t="s">
        <v>149</v>
      </c>
      <c r="T47" s="10" t="str" cm="1">
        <f t="array" ref="T47">_xlfn.SWITCH(S47,"Single Bed","2000","Double Bed","4000","Queen Bed","5000","King Bed","6000")</f>
        <v>2000</v>
      </c>
      <c r="U47" s="11">
        <v>46003</v>
      </c>
      <c r="V47" s="11">
        <v>46005</v>
      </c>
      <c r="W47" s="10">
        <f t="shared" si="0"/>
        <v>2</v>
      </c>
      <c r="X47" s="10">
        <v>1</v>
      </c>
      <c r="Y47" s="21" t="s">
        <v>150</v>
      </c>
    </row>
    <row r="48" spans="1:25" x14ac:dyDescent="0.3">
      <c r="A48" s="18" t="s">
        <v>382</v>
      </c>
      <c r="B48">
        <v>0</v>
      </c>
      <c r="Q48" s="20" t="s">
        <v>148</v>
      </c>
      <c r="R48" s="10">
        <v>2</v>
      </c>
      <c r="S48" s="10" t="s">
        <v>149</v>
      </c>
      <c r="T48" s="10" t="str" cm="1">
        <f t="array" ref="T48">_xlfn.SWITCH(S48,"Single Bed","2000","Double Bed","4000","Queen Bed","5000","King Bed","6000")</f>
        <v>2000</v>
      </c>
      <c r="U48" s="11">
        <v>45748</v>
      </c>
      <c r="V48" s="11">
        <v>45748</v>
      </c>
      <c r="W48" s="10">
        <f t="shared" si="0"/>
        <v>0</v>
      </c>
      <c r="X48" s="10">
        <v>1</v>
      </c>
      <c r="Y48" s="21" t="s">
        <v>150</v>
      </c>
    </row>
    <row r="49" spans="1:25" x14ac:dyDescent="0.3">
      <c r="A49" s="18" t="s">
        <v>377</v>
      </c>
      <c r="B49">
        <v>2</v>
      </c>
      <c r="Q49" s="20" t="s">
        <v>151</v>
      </c>
      <c r="R49" s="10">
        <v>1</v>
      </c>
      <c r="S49" s="10" t="s">
        <v>152</v>
      </c>
      <c r="T49" s="10" t="str" cm="1">
        <f t="array" ref="T49">_xlfn.SWITCH(S49,"Single Bed","2000","Double Bed","4000","Queen Bed","5000","King Bed","6000")</f>
        <v>4000</v>
      </c>
      <c r="U49" s="11">
        <v>45788</v>
      </c>
      <c r="V49" s="11">
        <v>45789</v>
      </c>
      <c r="W49" s="10">
        <f t="shared" si="0"/>
        <v>1</v>
      </c>
      <c r="X49" s="10">
        <v>2</v>
      </c>
      <c r="Y49" s="21" t="s">
        <v>370</v>
      </c>
    </row>
    <row r="50" spans="1:25" x14ac:dyDescent="0.3">
      <c r="A50" s="18" t="s">
        <v>383</v>
      </c>
      <c r="B50">
        <v>0</v>
      </c>
      <c r="Q50" s="20" t="s">
        <v>366</v>
      </c>
      <c r="R50" s="10">
        <v>4</v>
      </c>
      <c r="S50" s="10" t="s">
        <v>152</v>
      </c>
      <c r="T50" s="10" t="str" cm="1">
        <f t="array" ref="T50">_xlfn.SWITCH(S50,"Single Bed","2000","Double Bed","4000","Queen Bed","5000","King Bed","6000")</f>
        <v>4000</v>
      </c>
      <c r="U50" s="11">
        <v>45911</v>
      </c>
      <c r="V50" s="11">
        <v>45911</v>
      </c>
      <c r="W50" s="10">
        <f t="shared" si="0"/>
        <v>0</v>
      </c>
      <c r="X50" s="10">
        <v>2</v>
      </c>
      <c r="Y50" s="21" t="s">
        <v>370</v>
      </c>
    </row>
    <row r="51" spans="1:25" x14ac:dyDescent="0.3">
      <c r="A51" s="18" t="s">
        <v>384</v>
      </c>
      <c r="B51">
        <v>1</v>
      </c>
      <c r="Q51" s="20" t="s">
        <v>367</v>
      </c>
      <c r="R51" s="10">
        <v>2</v>
      </c>
      <c r="S51" s="10" t="s">
        <v>369</v>
      </c>
      <c r="T51" s="10" t="str" cm="1">
        <f t="array" ref="T51">_xlfn.SWITCH(S51,"Single Bed","2000","Double Bed","4000","Queen Bed","5000","King Bed","6000")</f>
        <v>6000</v>
      </c>
      <c r="U51" s="11">
        <v>45873</v>
      </c>
      <c r="V51" s="11">
        <v>45874</v>
      </c>
      <c r="W51" s="10">
        <f t="shared" si="0"/>
        <v>1</v>
      </c>
      <c r="X51" s="10">
        <v>3</v>
      </c>
      <c r="Y51" s="21" t="s">
        <v>150</v>
      </c>
    </row>
    <row r="52" spans="1:25" x14ac:dyDescent="0.3">
      <c r="A52" s="18" t="s">
        <v>380</v>
      </c>
      <c r="B52">
        <v>0</v>
      </c>
      <c r="Q52" s="25" t="s">
        <v>148</v>
      </c>
      <c r="R52" s="26">
        <v>2</v>
      </c>
      <c r="S52" s="26" t="s">
        <v>368</v>
      </c>
      <c r="T52" s="26" t="str" cm="1">
        <f t="array" ref="T52">_xlfn.SWITCH(S52,"Single Bed","2000","Double Bed","4000","Queen Bed","5000","King Bed","6000")</f>
        <v>5000</v>
      </c>
      <c r="U52" s="27">
        <v>45816</v>
      </c>
      <c r="V52" s="27">
        <v>45817</v>
      </c>
      <c r="W52" s="26">
        <f t="shared" si="0"/>
        <v>1</v>
      </c>
      <c r="X52" s="26">
        <v>3</v>
      </c>
      <c r="Y52" s="28" t="s">
        <v>150</v>
      </c>
    </row>
    <row r="53" spans="1:25" x14ac:dyDescent="0.3">
      <c r="A53" s="16" t="s">
        <v>369</v>
      </c>
      <c r="B53">
        <v>6</v>
      </c>
    </row>
    <row r="54" spans="1:25" x14ac:dyDescent="0.3">
      <c r="A54" s="17" t="s">
        <v>376</v>
      </c>
      <c r="B54">
        <v>6</v>
      </c>
    </row>
    <row r="55" spans="1:25" x14ac:dyDescent="0.3">
      <c r="A55" s="18" t="s">
        <v>382</v>
      </c>
      <c r="B55">
        <v>0</v>
      </c>
    </row>
    <row r="56" spans="1:25" x14ac:dyDescent="0.3">
      <c r="A56" s="18" t="s">
        <v>377</v>
      </c>
      <c r="B56">
        <v>4</v>
      </c>
    </row>
    <row r="57" spans="1:25" x14ac:dyDescent="0.3">
      <c r="A57" s="18" t="s">
        <v>383</v>
      </c>
      <c r="B57">
        <v>0</v>
      </c>
    </row>
    <row r="58" spans="1:25" x14ac:dyDescent="0.3">
      <c r="A58" s="18" t="s">
        <v>384</v>
      </c>
      <c r="B58">
        <v>1</v>
      </c>
    </row>
    <row r="59" spans="1:25" x14ac:dyDescent="0.3">
      <c r="A59" s="18" t="s">
        <v>379</v>
      </c>
      <c r="B59">
        <v>1</v>
      </c>
    </row>
    <row r="60" spans="1:25" x14ac:dyDescent="0.3">
      <c r="A60" s="18" t="s">
        <v>380</v>
      </c>
      <c r="B60">
        <v>0</v>
      </c>
    </row>
    <row r="61" spans="1:25" x14ac:dyDescent="0.3">
      <c r="A61" s="15" t="s">
        <v>372</v>
      </c>
      <c r="B61">
        <v>50</v>
      </c>
    </row>
  </sheetData>
  <conditionalFormatting sqref="W3:W52">
    <cfRule type="cellIs" dxfId="11" priority="1" operator="greaterThan">
      <formula>1</formula>
    </cfRule>
  </conditionalFormatting>
  <dataValidations count="4">
    <dataValidation type="list" allowBlank="1" showInputMessage="1" showErrorMessage="1" sqref="Y3:Y9 Y11:Y24 Y26:Y39 Y41:Y52" xr:uid="{9D1950D0-C9CC-43B1-B2E9-DA66E6773B08}">
      <formula1>"AC,Non-AC"</formula1>
    </dataValidation>
    <dataValidation type="list" allowBlank="1" showInputMessage="1" showErrorMessage="1" promptTitle="Message" prompt="In this Hotel 4-floors only there" sqref="R3:R52" xr:uid="{E2ABDB7F-1EE2-4785-8B75-F401B6E66833}">
      <formula1>"1,2,3,4"</formula1>
    </dataValidation>
    <dataValidation type="list" allowBlank="1" showInputMessage="1" showErrorMessage="1" sqref="S3:S52" xr:uid="{FB05CA41-4A56-4F5F-8329-B70FA2DD7AFA}">
      <formula1>"Single Bed,Double Bed,Queen Bed,King Bed"</formula1>
    </dataValidation>
    <dataValidation type="list" allowBlank="1" showInputMessage="1" showErrorMessage="1" errorTitle="Message" error="Beds are available above list only" sqref="Q3:Q52" xr:uid="{B452B389-2D48-4989-A506-6F473E9FA63D}">
      <formula1>"Single,Double,Deluxe,Suite"</formula1>
    </dataValidation>
  </dataValidations>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D219-83A0-4886-AB69-2E8876DC46D4}">
  <sheetPr>
    <tabColor theme="6" tint="-0.499984740745262"/>
  </sheetPr>
  <dimension ref="A1:S51"/>
  <sheetViews>
    <sheetView showGridLines="0" workbookViewId="0">
      <selection activeCell="J11" sqref="J11"/>
    </sheetView>
  </sheetViews>
  <sheetFormatPr defaultRowHeight="14.4" x14ac:dyDescent="0.3"/>
  <cols>
    <col min="1" max="1" width="9.6640625" bestFit="1" customWidth="1"/>
    <col min="2" max="2" width="12.88671875" bestFit="1" customWidth="1"/>
    <col min="3" max="3" width="10" bestFit="1" customWidth="1"/>
    <col min="4" max="4" width="5.21875" bestFit="1" customWidth="1"/>
    <col min="5" max="5" width="10.109375" bestFit="1" customWidth="1"/>
    <col min="6" max="6" width="11.77734375" bestFit="1" customWidth="1"/>
    <col min="10" max="10" width="7.109375" bestFit="1" customWidth="1"/>
    <col min="11" max="11" width="12.88671875" bestFit="1" customWidth="1"/>
    <col min="12" max="12" width="5.21875" bestFit="1" customWidth="1"/>
    <col min="13" max="13" width="5.33203125" bestFit="1" customWidth="1"/>
    <col min="14" max="14" width="7" bestFit="1" customWidth="1"/>
    <col min="15" max="15" width="12.5546875" bestFit="1" customWidth="1"/>
    <col min="16" max="16" width="9.6640625" bestFit="1" customWidth="1"/>
    <col min="17" max="17" width="5.109375" bestFit="1" customWidth="1"/>
    <col min="18" max="18" width="10.109375" bestFit="1" customWidth="1"/>
    <col min="19" max="19" width="11.33203125" bestFit="1" customWidth="1"/>
  </cols>
  <sheetData>
    <row r="1" spans="1:19" x14ac:dyDescent="0.3">
      <c r="A1" s="3" t="s">
        <v>27</v>
      </c>
      <c r="B1" s="3" t="s">
        <v>17</v>
      </c>
      <c r="C1" s="3" t="s">
        <v>18</v>
      </c>
      <c r="D1" s="3" t="s">
        <v>19</v>
      </c>
      <c r="E1" s="3" t="s">
        <v>20</v>
      </c>
      <c r="F1" s="3" t="s">
        <v>21</v>
      </c>
    </row>
    <row r="2" spans="1:19" x14ac:dyDescent="0.3">
      <c r="A2" s="10" t="s">
        <v>89</v>
      </c>
      <c r="B2" s="10" t="s">
        <v>147</v>
      </c>
      <c r="C2" s="10" t="s">
        <v>148</v>
      </c>
      <c r="D2" s="10">
        <v>1</v>
      </c>
      <c r="E2" s="10" t="s">
        <v>149</v>
      </c>
      <c r="F2" s="10" t="str" cm="1">
        <f t="array" ref="F2">_xlfn.SWITCH(E2,"Single Bed","2000","Double Bed","4000","Queen Bed","5000","King Bed","6000")</f>
        <v>2000</v>
      </c>
    </row>
    <row r="3" spans="1:19" x14ac:dyDescent="0.3">
      <c r="A3" s="10" t="s">
        <v>90</v>
      </c>
      <c r="B3" s="10" t="s">
        <v>153</v>
      </c>
      <c r="C3" s="10" t="s">
        <v>151</v>
      </c>
      <c r="D3" s="10">
        <v>3</v>
      </c>
      <c r="E3" s="10" t="s">
        <v>152</v>
      </c>
      <c r="F3" s="10" t="str" cm="1">
        <f t="array" ref="F3">_xlfn.SWITCH(E3,"Single Bed","2000","Double Bed","4000","Queen Bed","5000","King Bed","6000")</f>
        <v>4000</v>
      </c>
    </row>
    <row r="4" spans="1:19" x14ac:dyDescent="0.3">
      <c r="A4" s="10" t="s">
        <v>91</v>
      </c>
      <c r="B4" s="10" t="s">
        <v>154</v>
      </c>
      <c r="C4" s="10" t="s">
        <v>366</v>
      </c>
      <c r="D4" s="10">
        <v>2</v>
      </c>
      <c r="E4" s="10" t="s">
        <v>368</v>
      </c>
      <c r="F4" s="10" t="str" cm="1">
        <f t="array" ref="F4">_xlfn.SWITCH(E4,"Single Bed","2000","Double Bed","4000","Queen Bed","5000","King Bed","6000")</f>
        <v>5000</v>
      </c>
    </row>
    <row r="5" spans="1:19" x14ac:dyDescent="0.3">
      <c r="A5" s="10" t="s">
        <v>92</v>
      </c>
      <c r="B5" s="10" t="s">
        <v>155</v>
      </c>
      <c r="C5" s="10" t="s">
        <v>367</v>
      </c>
      <c r="D5" s="10">
        <v>1</v>
      </c>
      <c r="E5" s="10" t="s">
        <v>369</v>
      </c>
      <c r="F5" s="10" t="str" cm="1">
        <f t="array" ref="F5">_xlfn.SWITCH(E5,"Single Bed","2000","Double Bed","4000","Queen Bed","5000","King Bed","6000")</f>
        <v>6000</v>
      </c>
    </row>
    <row r="6" spans="1:19" x14ac:dyDescent="0.3">
      <c r="A6" s="10" t="s">
        <v>93</v>
      </c>
      <c r="B6" s="10" t="s">
        <v>156</v>
      </c>
      <c r="C6" s="10" t="s">
        <v>148</v>
      </c>
      <c r="D6" s="10">
        <v>4</v>
      </c>
      <c r="E6" s="10" t="s">
        <v>149</v>
      </c>
      <c r="F6" s="10" t="str" cm="1">
        <f t="array" ref="F6">_xlfn.SWITCH(E6,"Single Bed","2000","Double Bed","4000","Queen Bed","5000","King Bed","6000")</f>
        <v>2000</v>
      </c>
      <c r="J6" s="43" t="s">
        <v>403</v>
      </c>
      <c r="K6" s="43"/>
      <c r="L6" s="43"/>
      <c r="M6" s="43"/>
    </row>
    <row r="7" spans="1:19" x14ac:dyDescent="0.3">
      <c r="A7" s="10" t="s">
        <v>94</v>
      </c>
      <c r="B7" s="10" t="s">
        <v>157</v>
      </c>
      <c r="C7" s="10" t="s">
        <v>151</v>
      </c>
      <c r="D7" s="10">
        <v>2</v>
      </c>
      <c r="E7" s="10" t="s">
        <v>149</v>
      </c>
      <c r="F7" s="10" t="str" cm="1">
        <f t="array" ref="F7">_xlfn.SWITCH(E7,"Single Bed","2000","Double Bed","4000","Queen Bed","5000","King Bed","6000")</f>
        <v>2000</v>
      </c>
      <c r="J7" s="35" t="s">
        <v>399</v>
      </c>
      <c r="K7" s="35" t="s">
        <v>17</v>
      </c>
      <c r="L7" s="35" t="s">
        <v>19</v>
      </c>
      <c r="M7" s="35" t="s">
        <v>35</v>
      </c>
    </row>
    <row r="8" spans="1:19" x14ac:dyDescent="0.3">
      <c r="A8" s="10" t="s">
        <v>95</v>
      </c>
      <c r="B8" s="10" t="s">
        <v>158</v>
      </c>
      <c r="C8" s="10" t="s">
        <v>366</v>
      </c>
      <c r="D8" s="10">
        <v>2</v>
      </c>
      <c r="E8" s="10" t="s">
        <v>152</v>
      </c>
      <c r="F8" s="10" t="str" cm="1">
        <f t="array" ref="F8">_xlfn.SWITCH(E8,"Single Bed","2000","Double Bed","4000","Queen Bed","5000","King Bed","6000")</f>
        <v>4000</v>
      </c>
      <c r="J8" s="36" t="s">
        <v>91</v>
      </c>
      <c r="K8" s="36" t="str" cm="1">
        <f t="array" ref="K8:M8">VLOOKUP(J8,A1:F51,{2,4,6},0)</f>
        <v>R104</v>
      </c>
      <c r="L8" s="36">
        <v>2</v>
      </c>
      <c r="M8" s="36" t="str">
        <v>5000</v>
      </c>
    </row>
    <row r="9" spans="1:19" x14ac:dyDescent="0.3">
      <c r="A9" s="10" t="s">
        <v>96</v>
      </c>
      <c r="B9" s="10" t="s">
        <v>159</v>
      </c>
      <c r="C9" s="10" t="s">
        <v>367</v>
      </c>
      <c r="D9" s="10">
        <v>1</v>
      </c>
      <c r="E9" s="10" t="s">
        <v>152</v>
      </c>
      <c r="F9" s="10" t="str" cm="1">
        <f t="array" ref="F9">_xlfn.SWITCH(E9,"Single Bed","2000","Double Bed","4000","Queen Bed","5000","King Bed","6000")</f>
        <v>4000</v>
      </c>
      <c r="J9" s="36" t="s">
        <v>92</v>
      </c>
      <c r="K9" s="36" t="str" cm="1">
        <f t="array" ref="K9:M9">VLOOKUP(J9,A1:F51,{2,4,6},0)</f>
        <v>R105</v>
      </c>
      <c r="L9" s="36">
        <v>1</v>
      </c>
      <c r="M9" s="36" t="str">
        <v>6000</v>
      </c>
    </row>
    <row r="10" spans="1:19" x14ac:dyDescent="0.3">
      <c r="A10" s="10" t="s">
        <v>97</v>
      </c>
      <c r="B10" s="10" t="s">
        <v>160</v>
      </c>
      <c r="C10" s="10" t="s">
        <v>148</v>
      </c>
      <c r="D10" s="10">
        <v>3</v>
      </c>
      <c r="E10" s="10" t="s">
        <v>149</v>
      </c>
      <c r="F10" s="10" t="str" cm="1">
        <f t="array" ref="F10">_xlfn.SWITCH(E10,"Single Bed","2000","Double Bed","4000","Queen Bed","5000","King Bed","6000")</f>
        <v>2000</v>
      </c>
    </row>
    <row r="11" spans="1:19" x14ac:dyDescent="0.3">
      <c r="A11" s="10" t="s">
        <v>98</v>
      </c>
      <c r="B11" s="10" t="s">
        <v>161</v>
      </c>
      <c r="C11" s="10" t="s">
        <v>151</v>
      </c>
      <c r="D11" s="10">
        <v>2</v>
      </c>
      <c r="E11" s="10" t="s">
        <v>152</v>
      </c>
      <c r="F11" s="10" t="str" cm="1">
        <f t="array" ref="F11">_xlfn.SWITCH(E11,"Single Bed","2000","Double Bed","4000","Queen Bed","5000","King Bed","6000")</f>
        <v>4000</v>
      </c>
    </row>
    <row r="12" spans="1:19" x14ac:dyDescent="0.3">
      <c r="A12" s="10" t="s">
        <v>99</v>
      </c>
      <c r="B12" s="10" t="s">
        <v>162</v>
      </c>
      <c r="C12" s="10" t="s">
        <v>366</v>
      </c>
      <c r="D12" s="10">
        <v>1</v>
      </c>
      <c r="E12" s="10" t="s">
        <v>368</v>
      </c>
      <c r="F12" s="10" t="str" cm="1">
        <f t="array" ref="F12">_xlfn.SWITCH(E12,"Single Bed","2000","Double Bed","4000","Queen Bed","5000","King Bed","6000")</f>
        <v>5000</v>
      </c>
    </row>
    <row r="13" spans="1:19" x14ac:dyDescent="0.3">
      <c r="A13" s="10" t="s">
        <v>100</v>
      </c>
      <c r="B13" s="10" t="s">
        <v>163</v>
      </c>
      <c r="C13" s="10" t="s">
        <v>367</v>
      </c>
      <c r="D13" s="10">
        <v>4</v>
      </c>
      <c r="E13" s="10" t="s">
        <v>369</v>
      </c>
      <c r="F13" s="10" t="str" cm="1">
        <f t="array" ref="F13">_xlfn.SWITCH(E13,"Single Bed","2000","Double Bed","4000","Queen Bed","5000","King Bed","6000")</f>
        <v>6000</v>
      </c>
      <c r="N13" s="43" t="s">
        <v>403</v>
      </c>
      <c r="O13" s="43"/>
      <c r="P13" s="43"/>
      <c r="Q13" s="43"/>
      <c r="R13" s="43"/>
      <c r="S13" s="43"/>
    </row>
    <row r="14" spans="1:19" x14ac:dyDescent="0.3">
      <c r="A14" s="10" t="s">
        <v>101</v>
      </c>
      <c r="B14" s="10" t="s">
        <v>164</v>
      </c>
      <c r="C14" s="10" t="s">
        <v>148</v>
      </c>
      <c r="D14" s="10">
        <v>2</v>
      </c>
      <c r="E14" s="10" t="s">
        <v>149</v>
      </c>
      <c r="F14" s="10" t="str" cm="1">
        <f t="array" ref="F14">_xlfn.SWITCH(E14,"Single Bed","2000","Double Bed","4000","Queen Bed","5000","King Bed","6000")</f>
        <v>2000</v>
      </c>
      <c r="N14" s="35" t="s">
        <v>400</v>
      </c>
      <c r="O14" s="35" t="s">
        <v>17</v>
      </c>
      <c r="P14" s="35" t="s">
        <v>18</v>
      </c>
      <c r="Q14" s="35" t="s">
        <v>19</v>
      </c>
      <c r="R14" s="35" t="s">
        <v>20</v>
      </c>
      <c r="S14" s="35" t="s">
        <v>21</v>
      </c>
    </row>
    <row r="15" spans="1:19" x14ac:dyDescent="0.3">
      <c r="A15" s="10" t="s">
        <v>102</v>
      </c>
      <c r="B15" s="10" t="s">
        <v>165</v>
      </c>
      <c r="C15" s="10" t="s">
        <v>151</v>
      </c>
      <c r="D15" s="10">
        <v>2</v>
      </c>
      <c r="E15" s="10" t="s">
        <v>149</v>
      </c>
      <c r="F15" s="10" t="str" cm="1">
        <f t="array" ref="F15">_xlfn.SWITCH(E15,"Single Bed","2000","Double Bed","4000","Queen Bed","5000","King Bed","6000")</f>
        <v>2000</v>
      </c>
      <c r="N15" s="36" t="s">
        <v>95</v>
      </c>
      <c r="O15" s="36" t="str" cm="1">
        <f t="array" ref="O15:S15">_xlfn.XLOOKUP(N15,A1:A51,B1:F51)</f>
        <v>R108</v>
      </c>
      <c r="P15" s="36" t="str">
        <v>Deluxe</v>
      </c>
      <c r="Q15" s="36">
        <v>2</v>
      </c>
      <c r="R15" s="36" t="str">
        <v>Double Bed</v>
      </c>
      <c r="S15" s="36" t="str">
        <v>4000</v>
      </c>
    </row>
    <row r="16" spans="1:19" x14ac:dyDescent="0.3">
      <c r="A16" s="10" t="s">
        <v>103</v>
      </c>
      <c r="B16" s="10" t="s">
        <v>166</v>
      </c>
      <c r="C16" s="10" t="s">
        <v>366</v>
      </c>
      <c r="D16" s="10">
        <v>1</v>
      </c>
      <c r="E16" s="10" t="s">
        <v>152</v>
      </c>
      <c r="F16" s="10" t="str" cm="1">
        <f t="array" ref="F16">_xlfn.SWITCH(E16,"Single Bed","2000","Double Bed","4000","Queen Bed","5000","King Bed","6000")</f>
        <v>4000</v>
      </c>
      <c r="N16" s="36" t="s">
        <v>97</v>
      </c>
      <c r="O16" s="36" t="str" cm="1">
        <f t="array" ref="O16:S16">_xlfn.XLOOKUP(N16,A1:A51,B1:F51)</f>
        <v>R110</v>
      </c>
      <c r="P16" s="36" t="str">
        <v>Single</v>
      </c>
      <c r="Q16" s="36">
        <v>3</v>
      </c>
      <c r="R16" s="36" t="str">
        <v>Single Bed</v>
      </c>
      <c r="S16" s="36" t="str">
        <v>2000</v>
      </c>
    </row>
    <row r="17" spans="1:6" x14ac:dyDescent="0.3">
      <c r="A17" s="10" t="s">
        <v>104</v>
      </c>
      <c r="B17" s="10" t="s">
        <v>167</v>
      </c>
      <c r="C17" s="10" t="s">
        <v>367</v>
      </c>
      <c r="D17" s="10">
        <v>3</v>
      </c>
      <c r="E17" s="10" t="s">
        <v>152</v>
      </c>
      <c r="F17" s="10" t="str" cm="1">
        <f t="array" ref="F17">_xlfn.SWITCH(E17,"Single Bed","2000","Double Bed","4000","Queen Bed","5000","King Bed","6000")</f>
        <v>4000</v>
      </c>
    </row>
    <row r="18" spans="1:6" x14ac:dyDescent="0.3">
      <c r="A18" s="10" t="s">
        <v>105</v>
      </c>
      <c r="B18" s="10" t="s">
        <v>168</v>
      </c>
      <c r="C18" s="10" t="s">
        <v>148</v>
      </c>
      <c r="D18" s="10">
        <v>2</v>
      </c>
      <c r="E18" s="10" t="s">
        <v>149</v>
      </c>
      <c r="F18" s="10" t="str" cm="1">
        <f t="array" ref="F18">_xlfn.SWITCH(E18,"Single Bed","2000","Double Bed","4000","Queen Bed","5000","King Bed","6000")</f>
        <v>2000</v>
      </c>
    </row>
    <row r="19" spans="1:6" x14ac:dyDescent="0.3">
      <c r="A19" s="10" t="s">
        <v>106</v>
      </c>
      <c r="B19" s="10" t="s">
        <v>169</v>
      </c>
      <c r="C19" s="10" t="s">
        <v>151</v>
      </c>
      <c r="D19" s="10">
        <v>1</v>
      </c>
      <c r="E19" s="10" t="s">
        <v>152</v>
      </c>
      <c r="F19" s="10" t="str" cm="1">
        <f t="array" ref="F19">_xlfn.SWITCH(E19,"Single Bed","2000","Double Bed","4000","Queen Bed","5000","King Bed","6000")</f>
        <v>4000</v>
      </c>
    </row>
    <row r="20" spans="1:6" x14ac:dyDescent="0.3">
      <c r="A20" s="10" t="s">
        <v>107</v>
      </c>
      <c r="B20" s="10" t="s">
        <v>170</v>
      </c>
      <c r="C20" s="10" t="s">
        <v>366</v>
      </c>
      <c r="D20" s="10">
        <v>4</v>
      </c>
      <c r="E20" s="10" t="s">
        <v>368</v>
      </c>
      <c r="F20" s="10" t="str" cm="1">
        <f t="array" ref="F20">_xlfn.SWITCH(E20,"Single Bed","2000","Double Bed","4000","Queen Bed","5000","King Bed","6000")</f>
        <v>5000</v>
      </c>
    </row>
    <row r="21" spans="1:6" x14ac:dyDescent="0.3">
      <c r="A21" s="10" t="s">
        <v>108</v>
      </c>
      <c r="B21" s="10" t="s">
        <v>171</v>
      </c>
      <c r="C21" s="10" t="s">
        <v>367</v>
      </c>
      <c r="D21" s="10">
        <v>2</v>
      </c>
      <c r="E21" s="10" t="s">
        <v>369</v>
      </c>
      <c r="F21" s="10" t="str" cm="1">
        <f t="array" ref="F21">_xlfn.SWITCH(E21,"Single Bed","2000","Double Bed","4000","Queen Bed","5000","King Bed","6000")</f>
        <v>6000</v>
      </c>
    </row>
    <row r="22" spans="1:6" x14ac:dyDescent="0.3">
      <c r="A22" s="10" t="s">
        <v>109</v>
      </c>
      <c r="B22" s="10" t="s">
        <v>172</v>
      </c>
      <c r="C22" s="10" t="s">
        <v>148</v>
      </c>
      <c r="D22" s="10">
        <v>2</v>
      </c>
      <c r="E22" s="10" t="s">
        <v>149</v>
      </c>
      <c r="F22" s="10" t="str" cm="1">
        <f t="array" ref="F22">_xlfn.SWITCH(E22,"Single Bed","2000","Double Bed","4000","Queen Bed","5000","King Bed","6000")</f>
        <v>2000</v>
      </c>
    </row>
    <row r="23" spans="1:6" x14ac:dyDescent="0.3">
      <c r="A23" s="10" t="s">
        <v>110</v>
      </c>
      <c r="B23" s="10" t="s">
        <v>173</v>
      </c>
      <c r="C23" s="10" t="s">
        <v>151</v>
      </c>
      <c r="D23" s="10">
        <v>1</v>
      </c>
      <c r="E23" s="10" t="s">
        <v>149</v>
      </c>
      <c r="F23" s="10" t="str" cm="1">
        <f t="array" ref="F23">_xlfn.SWITCH(E23,"Single Bed","2000","Double Bed","4000","Queen Bed","5000","King Bed","6000")</f>
        <v>2000</v>
      </c>
    </row>
    <row r="24" spans="1:6" x14ac:dyDescent="0.3">
      <c r="A24" s="10" t="s">
        <v>111</v>
      </c>
      <c r="B24" s="10" t="s">
        <v>174</v>
      </c>
      <c r="C24" s="10" t="s">
        <v>366</v>
      </c>
      <c r="D24" s="10">
        <v>3</v>
      </c>
      <c r="E24" s="10" t="s">
        <v>152</v>
      </c>
      <c r="F24" s="10" t="str" cm="1">
        <f t="array" ref="F24">_xlfn.SWITCH(E24,"Single Bed","2000","Double Bed","4000","Queen Bed","5000","King Bed","6000")</f>
        <v>4000</v>
      </c>
    </row>
    <row r="25" spans="1:6" x14ac:dyDescent="0.3">
      <c r="A25" s="10" t="s">
        <v>112</v>
      </c>
      <c r="B25" s="10" t="s">
        <v>175</v>
      </c>
      <c r="C25" s="10" t="s">
        <v>367</v>
      </c>
      <c r="D25" s="10">
        <v>2</v>
      </c>
      <c r="E25" s="10" t="s">
        <v>152</v>
      </c>
      <c r="F25" s="10" t="str" cm="1">
        <f t="array" ref="F25">_xlfn.SWITCH(E25,"Single Bed","2000","Double Bed","4000","Queen Bed","5000","King Bed","6000")</f>
        <v>4000</v>
      </c>
    </row>
    <row r="26" spans="1:6" x14ac:dyDescent="0.3">
      <c r="A26" s="10" t="s">
        <v>113</v>
      </c>
      <c r="B26" s="10" t="s">
        <v>176</v>
      </c>
      <c r="C26" s="10" t="s">
        <v>148</v>
      </c>
      <c r="D26" s="10">
        <v>1</v>
      </c>
      <c r="E26" s="10" t="s">
        <v>149</v>
      </c>
      <c r="F26" s="10" t="str" cm="1">
        <f t="array" ref="F26">_xlfn.SWITCH(E26,"Single Bed","2000","Double Bed","4000","Queen Bed","5000","King Bed","6000")</f>
        <v>2000</v>
      </c>
    </row>
    <row r="27" spans="1:6" x14ac:dyDescent="0.3">
      <c r="A27" s="10" t="s">
        <v>114</v>
      </c>
      <c r="B27" s="10" t="s">
        <v>177</v>
      </c>
      <c r="C27" s="10" t="s">
        <v>151</v>
      </c>
      <c r="D27" s="10">
        <v>4</v>
      </c>
      <c r="E27" s="10" t="s">
        <v>152</v>
      </c>
      <c r="F27" s="10" t="str" cm="1">
        <f t="array" ref="F27">_xlfn.SWITCH(E27,"Single Bed","2000","Double Bed","4000","Queen Bed","5000","King Bed","6000")</f>
        <v>4000</v>
      </c>
    </row>
    <row r="28" spans="1:6" x14ac:dyDescent="0.3">
      <c r="A28" s="10" t="s">
        <v>115</v>
      </c>
      <c r="B28" s="10" t="s">
        <v>178</v>
      </c>
      <c r="C28" s="10" t="s">
        <v>366</v>
      </c>
      <c r="D28" s="10">
        <v>2</v>
      </c>
      <c r="E28" s="10" t="s">
        <v>368</v>
      </c>
      <c r="F28" s="10" t="str" cm="1">
        <f t="array" ref="F28">_xlfn.SWITCH(E28,"Single Bed","2000","Double Bed","4000","Queen Bed","5000","King Bed","6000")</f>
        <v>5000</v>
      </c>
    </row>
    <row r="29" spans="1:6" x14ac:dyDescent="0.3">
      <c r="A29" s="10" t="s">
        <v>116</v>
      </c>
      <c r="B29" s="10" t="s">
        <v>179</v>
      </c>
      <c r="C29" s="10" t="s">
        <v>367</v>
      </c>
      <c r="D29" s="10">
        <v>2</v>
      </c>
      <c r="E29" s="10" t="s">
        <v>369</v>
      </c>
      <c r="F29" s="10" t="str" cm="1">
        <f t="array" ref="F29">_xlfn.SWITCH(E29,"Single Bed","2000","Double Bed","4000","Queen Bed","5000","King Bed","6000")</f>
        <v>6000</v>
      </c>
    </row>
    <row r="30" spans="1:6" x14ac:dyDescent="0.3">
      <c r="A30" s="10" t="s">
        <v>117</v>
      </c>
      <c r="B30" s="10" t="s">
        <v>180</v>
      </c>
      <c r="C30" s="10" t="s">
        <v>148</v>
      </c>
      <c r="D30" s="10">
        <v>4</v>
      </c>
      <c r="E30" s="10" t="s">
        <v>149</v>
      </c>
      <c r="F30" s="10" t="str" cm="1">
        <f t="array" ref="F30">_xlfn.SWITCH(E30,"Single Bed","2000","Double Bed","4000","Queen Bed","5000","King Bed","6000")</f>
        <v>2000</v>
      </c>
    </row>
    <row r="31" spans="1:6" x14ac:dyDescent="0.3">
      <c r="A31" s="10" t="s">
        <v>118</v>
      </c>
      <c r="B31" s="10" t="s">
        <v>181</v>
      </c>
      <c r="C31" s="10" t="s">
        <v>151</v>
      </c>
      <c r="D31" s="10">
        <v>1</v>
      </c>
      <c r="E31" s="10" t="s">
        <v>149</v>
      </c>
      <c r="F31" s="10" t="str" cm="1">
        <f t="array" ref="F31">_xlfn.SWITCH(E31,"Single Bed","2000","Double Bed","4000","Queen Bed","5000","King Bed","6000")</f>
        <v>2000</v>
      </c>
    </row>
    <row r="32" spans="1:6" x14ac:dyDescent="0.3">
      <c r="A32" s="10" t="s">
        <v>119</v>
      </c>
      <c r="B32" s="10" t="s">
        <v>182</v>
      </c>
      <c r="C32" s="10" t="s">
        <v>366</v>
      </c>
      <c r="D32" s="10">
        <v>3</v>
      </c>
      <c r="E32" s="10" t="s">
        <v>152</v>
      </c>
      <c r="F32" s="10" t="str" cm="1">
        <f t="array" ref="F32">_xlfn.SWITCH(E32,"Single Bed","2000","Double Bed","4000","Queen Bed","5000","King Bed","6000")</f>
        <v>4000</v>
      </c>
    </row>
    <row r="33" spans="1:6" x14ac:dyDescent="0.3">
      <c r="A33" s="10" t="s">
        <v>120</v>
      </c>
      <c r="B33" s="10" t="s">
        <v>183</v>
      </c>
      <c r="C33" s="10" t="s">
        <v>367</v>
      </c>
      <c r="D33" s="10">
        <v>2</v>
      </c>
      <c r="E33" s="10" t="s">
        <v>152</v>
      </c>
      <c r="F33" s="10" t="str" cm="1">
        <f t="array" ref="F33">_xlfn.SWITCH(E33,"Single Bed","2000","Double Bed","4000","Queen Bed","5000","King Bed","6000")</f>
        <v>4000</v>
      </c>
    </row>
    <row r="34" spans="1:6" x14ac:dyDescent="0.3">
      <c r="A34" s="10" t="s">
        <v>121</v>
      </c>
      <c r="B34" s="10" t="s">
        <v>184</v>
      </c>
      <c r="C34" s="10" t="s">
        <v>148</v>
      </c>
      <c r="D34" s="10">
        <v>1</v>
      </c>
      <c r="E34" s="10" t="s">
        <v>149</v>
      </c>
      <c r="F34" s="10" t="str" cm="1">
        <f t="array" ref="F34">_xlfn.SWITCH(E34,"Single Bed","2000","Double Bed","4000","Queen Bed","5000","King Bed","6000")</f>
        <v>2000</v>
      </c>
    </row>
    <row r="35" spans="1:6" x14ac:dyDescent="0.3">
      <c r="A35" s="10" t="s">
        <v>122</v>
      </c>
      <c r="B35" s="10" t="s">
        <v>185</v>
      </c>
      <c r="C35" s="10" t="s">
        <v>151</v>
      </c>
      <c r="D35" s="10">
        <v>4</v>
      </c>
      <c r="E35" s="10" t="s">
        <v>152</v>
      </c>
      <c r="F35" s="10" t="str" cm="1">
        <f t="array" ref="F35">_xlfn.SWITCH(E35,"Single Bed","2000","Double Bed","4000","Queen Bed","5000","King Bed","6000")</f>
        <v>4000</v>
      </c>
    </row>
    <row r="36" spans="1:6" x14ac:dyDescent="0.3">
      <c r="A36" s="10" t="s">
        <v>123</v>
      </c>
      <c r="B36" s="10" t="s">
        <v>186</v>
      </c>
      <c r="C36" s="10" t="s">
        <v>366</v>
      </c>
      <c r="D36" s="10">
        <v>2</v>
      </c>
      <c r="E36" s="10" t="s">
        <v>368</v>
      </c>
      <c r="F36" s="10" t="str" cm="1">
        <f t="array" ref="F36">_xlfn.SWITCH(E36,"Single Bed","2000","Double Bed","4000","Queen Bed","5000","King Bed","6000")</f>
        <v>5000</v>
      </c>
    </row>
    <row r="37" spans="1:6" x14ac:dyDescent="0.3">
      <c r="A37" s="10" t="s">
        <v>124</v>
      </c>
      <c r="B37" s="10" t="s">
        <v>187</v>
      </c>
      <c r="C37" s="10" t="s">
        <v>367</v>
      </c>
      <c r="D37" s="10">
        <v>2</v>
      </c>
      <c r="E37" s="10" t="s">
        <v>369</v>
      </c>
      <c r="F37" s="10" t="str" cm="1">
        <f t="array" ref="F37">_xlfn.SWITCH(E37,"Single Bed","2000","Double Bed","4000","Queen Bed","5000","King Bed","6000")</f>
        <v>6000</v>
      </c>
    </row>
    <row r="38" spans="1:6" x14ac:dyDescent="0.3">
      <c r="A38" s="10" t="s">
        <v>125</v>
      </c>
      <c r="B38" s="10" t="s">
        <v>188</v>
      </c>
      <c r="C38" s="10" t="s">
        <v>148</v>
      </c>
      <c r="D38" s="10">
        <v>1</v>
      </c>
      <c r="E38" s="10" t="s">
        <v>149</v>
      </c>
      <c r="F38" s="10" t="str" cm="1">
        <f t="array" ref="F38">_xlfn.SWITCH(E38,"Single Bed","2000","Double Bed","4000","Queen Bed","5000","King Bed","6000")</f>
        <v>2000</v>
      </c>
    </row>
    <row r="39" spans="1:6" x14ac:dyDescent="0.3">
      <c r="A39" s="10" t="s">
        <v>126</v>
      </c>
      <c r="B39" s="10" t="s">
        <v>189</v>
      </c>
      <c r="C39" s="10" t="s">
        <v>151</v>
      </c>
      <c r="D39" s="10">
        <v>3</v>
      </c>
      <c r="E39" s="10" t="s">
        <v>149</v>
      </c>
      <c r="F39" s="10" t="str" cm="1">
        <f t="array" ref="F39">_xlfn.SWITCH(E39,"Single Bed","2000","Double Bed","4000","Queen Bed","5000","King Bed","6000")</f>
        <v>2000</v>
      </c>
    </row>
    <row r="40" spans="1:6" x14ac:dyDescent="0.3">
      <c r="A40" s="10" t="s">
        <v>127</v>
      </c>
      <c r="B40" s="10" t="s">
        <v>190</v>
      </c>
      <c r="C40" s="10" t="s">
        <v>366</v>
      </c>
      <c r="D40" s="10">
        <v>2</v>
      </c>
      <c r="E40" s="10" t="s">
        <v>152</v>
      </c>
      <c r="F40" s="10" t="str" cm="1">
        <f t="array" ref="F40">_xlfn.SWITCH(E40,"Single Bed","2000","Double Bed","4000","Queen Bed","5000","King Bed","6000")</f>
        <v>4000</v>
      </c>
    </row>
    <row r="41" spans="1:6" x14ac:dyDescent="0.3">
      <c r="A41" s="10" t="s">
        <v>128</v>
      </c>
      <c r="B41" s="10" t="s">
        <v>191</v>
      </c>
      <c r="C41" s="10" t="s">
        <v>367</v>
      </c>
      <c r="D41" s="10">
        <v>1</v>
      </c>
      <c r="E41" s="10" t="s">
        <v>152</v>
      </c>
      <c r="F41" s="10" t="str" cm="1">
        <f t="array" ref="F41">_xlfn.SWITCH(E41,"Single Bed","2000","Double Bed","4000","Queen Bed","5000","King Bed","6000")</f>
        <v>4000</v>
      </c>
    </row>
    <row r="42" spans="1:6" x14ac:dyDescent="0.3">
      <c r="A42" s="10" t="s">
        <v>129</v>
      </c>
      <c r="B42" s="10" t="s">
        <v>192</v>
      </c>
      <c r="C42" s="10" t="s">
        <v>148</v>
      </c>
      <c r="D42" s="10">
        <v>4</v>
      </c>
      <c r="E42" s="10" t="s">
        <v>149</v>
      </c>
      <c r="F42" s="10" t="str" cm="1">
        <f t="array" ref="F42">_xlfn.SWITCH(E42,"Single Bed","2000","Double Bed","4000","Queen Bed","5000","King Bed","6000")</f>
        <v>2000</v>
      </c>
    </row>
    <row r="43" spans="1:6" x14ac:dyDescent="0.3">
      <c r="A43" s="10" t="s">
        <v>130</v>
      </c>
      <c r="B43" s="10" t="s">
        <v>193</v>
      </c>
      <c r="C43" s="10" t="s">
        <v>151</v>
      </c>
      <c r="D43" s="10">
        <v>2</v>
      </c>
      <c r="E43" s="10" t="s">
        <v>152</v>
      </c>
      <c r="F43" s="10" t="str" cm="1">
        <f t="array" ref="F43">_xlfn.SWITCH(E43,"Single Bed","2000","Double Bed","4000","Queen Bed","5000","King Bed","6000")</f>
        <v>4000</v>
      </c>
    </row>
    <row r="44" spans="1:6" x14ac:dyDescent="0.3">
      <c r="A44" s="10" t="s">
        <v>131</v>
      </c>
      <c r="B44" s="10" t="s">
        <v>194</v>
      </c>
      <c r="C44" s="10" t="s">
        <v>366</v>
      </c>
      <c r="D44" s="10">
        <v>2</v>
      </c>
      <c r="E44" s="10" t="s">
        <v>368</v>
      </c>
      <c r="F44" s="10" t="str" cm="1">
        <f t="array" ref="F44">_xlfn.SWITCH(E44,"Single Bed","2000","Double Bed","4000","Queen Bed","5000","King Bed","6000")</f>
        <v>5000</v>
      </c>
    </row>
    <row r="45" spans="1:6" x14ac:dyDescent="0.3">
      <c r="A45" s="10" t="s">
        <v>132</v>
      </c>
      <c r="B45" s="10" t="s">
        <v>195</v>
      </c>
      <c r="C45" s="10" t="s">
        <v>367</v>
      </c>
      <c r="D45" s="10">
        <v>1</v>
      </c>
      <c r="E45" s="10" t="s">
        <v>369</v>
      </c>
      <c r="F45" s="10" t="str" cm="1">
        <f t="array" ref="F45">_xlfn.SWITCH(E45,"Single Bed","2000","Double Bed","4000","Queen Bed","5000","King Bed","6000")</f>
        <v>6000</v>
      </c>
    </row>
    <row r="46" spans="1:6" x14ac:dyDescent="0.3">
      <c r="A46" s="10" t="s">
        <v>133</v>
      </c>
      <c r="B46" s="10" t="s">
        <v>196</v>
      </c>
      <c r="C46" s="10" t="s">
        <v>148</v>
      </c>
      <c r="D46" s="10">
        <v>3</v>
      </c>
      <c r="E46" s="10" t="s">
        <v>149</v>
      </c>
      <c r="F46" s="10" t="str" cm="1">
        <f t="array" ref="F46">_xlfn.SWITCH(E46,"Single Bed","2000","Double Bed","4000","Queen Bed","5000","King Bed","6000")</f>
        <v>2000</v>
      </c>
    </row>
    <row r="47" spans="1:6" x14ac:dyDescent="0.3">
      <c r="A47" s="10" t="s">
        <v>134</v>
      </c>
      <c r="B47" s="10" t="s">
        <v>197</v>
      </c>
      <c r="C47" s="10" t="s">
        <v>148</v>
      </c>
      <c r="D47" s="10">
        <v>2</v>
      </c>
      <c r="E47" s="10" t="s">
        <v>149</v>
      </c>
      <c r="F47" s="10" t="str" cm="1">
        <f t="array" ref="F47">_xlfn.SWITCH(E47,"Single Bed","2000","Double Bed","4000","Queen Bed","5000","King Bed","6000")</f>
        <v>2000</v>
      </c>
    </row>
    <row r="48" spans="1:6" x14ac:dyDescent="0.3">
      <c r="A48" s="10" t="s">
        <v>135</v>
      </c>
      <c r="B48" s="10" t="s">
        <v>198</v>
      </c>
      <c r="C48" s="10" t="s">
        <v>151</v>
      </c>
      <c r="D48" s="10">
        <v>1</v>
      </c>
      <c r="E48" s="10" t="s">
        <v>152</v>
      </c>
      <c r="F48" s="10" t="str" cm="1">
        <f t="array" ref="F48">_xlfn.SWITCH(E48,"Single Bed","2000","Double Bed","4000","Queen Bed","5000","King Bed","6000")</f>
        <v>4000</v>
      </c>
    </row>
    <row r="49" spans="1:6" x14ac:dyDescent="0.3">
      <c r="A49" s="10" t="s">
        <v>136</v>
      </c>
      <c r="B49" s="10" t="s">
        <v>199</v>
      </c>
      <c r="C49" s="10" t="s">
        <v>366</v>
      </c>
      <c r="D49" s="10">
        <v>4</v>
      </c>
      <c r="E49" s="10" t="s">
        <v>152</v>
      </c>
      <c r="F49" s="10" t="str" cm="1">
        <f t="array" ref="F49">_xlfn.SWITCH(E49,"Single Bed","2000","Double Bed","4000","Queen Bed","5000","King Bed","6000")</f>
        <v>4000</v>
      </c>
    </row>
    <row r="50" spans="1:6" x14ac:dyDescent="0.3">
      <c r="A50" s="10" t="s">
        <v>137</v>
      </c>
      <c r="B50" s="10" t="s">
        <v>200</v>
      </c>
      <c r="C50" s="10" t="s">
        <v>367</v>
      </c>
      <c r="D50" s="10">
        <v>2</v>
      </c>
      <c r="E50" s="10" t="s">
        <v>369</v>
      </c>
      <c r="F50" s="10" t="str" cm="1">
        <f t="array" ref="F50">_xlfn.SWITCH(E50,"Single Bed","2000","Double Bed","4000","Queen Bed","5000","King Bed","6000")</f>
        <v>6000</v>
      </c>
    </row>
    <row r="51" spans="1:6" x14ac:dyDescent="0.3">
      <c r="A51" s="10" t="s">
        <v>138</v>
      </c>
      <c r="B51" s="10" t="s">
        <v>201</v>
      </c>
      <c r="C51" s="10" t="s">
        <v>148</v>
      </c>
      <c r="D51" s="10">
        <v>2</v>
      </c>
      <c r="E51" s="10" t="s">
        <v>368</v>
      </c>
      <c r="F51" s="10" t="str" cm="1">
        <f t="array" ref="F51">_xlfn.SWITCH(E51,"Single Bed","2000","Double Bed","4000","Queen Bed","5000","King Bed","6000")</f>
        <v>5000</v>
      </c>
    </row>
  </sheetData>
  <mergeCells count="2">
    <mergeCell ref="J6:M6"/>
    <mergeCell ref="N13:S13"/>
  </mergeCells>
  <dataValidations count="4">
    <dataValidation type="list" allowBlank="1" showInputMessage="1" showErrorMessage="1" promptTitle="Message" prompt="In this Hotel 4-floors only there" sqref="D2:D51" xr:uid="{7298F8AA-B7B3-42CA-BF03-78E409905E17}">
      <formula1>"1,2,3,4"</formula1>
    </dataValidation>
    <dataValidation type="list" allowBlank="1" showInputMessage="1" showErrorMessage="1" sqref="E2:E51" xr:uid="{592D09D2-C103-423C-B328-9ED9D18F5C89}">
      <formula1>"Single Bed,Double Bed,Queen Bed,King Bed"</formula1>
    </dataValidation>
    <dataValidation type="list" allowBlank="1" showInputMessage="1" showErrorMessage="1" errorTitle="Message" error="Beds are available above list only" sqref="C2:C51" xr:uid="{45820F53-CEE9-45EA-9EF2-B9C7CEBCE02E}">
      <formula1>"Single,Double,Deluxe,Suite"</formula1>
    </dataValidation>
    <dataValidation type="list" allowBlank="1" showInputMessage="1" showErrorMessage="1" sqref="J8:J9 N15:N16" xr:uid="{036FEBB8-8E58-4584-B51D-78D71EE96D8B}">
      <formula1>$A$2:$A$51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D58C-62B1-412C-8DA8-13010FD13F49}">
  <sheetPr>
    <tabColor theme="8" tint="-0.499984740745262"/>
  </sheetPr>
  <dimension ref="A1:X54"/>
  <sheetViews>
    <sheetView showGridLines="0" workbookViewId="0">
      <selection activeCell="J11" sqref="J11"/>
    </sheetView>
  </sheetViews>
  <sheetFormatPr defaultRowHeight="14.4" x14ac:dyDescent="0.3"/>
  <cols>
    <col min="2" max="2" width="7.44140625" bestFit="1" customWidth="1"/>
    <col min="3" max="3" width="9.33203125" bestFit="1" customWidth="1"/>
    <col min="4" max="4" width="8.33203125" bestFit="1" customWidth="1"/>
    <col min="5" max="5" width="7" bestFit="1" customWidth="1"/>
    <col min="6" max="6" width="9.33203125" bestFit="1" customWidth="1"/>
    <col min="7" max="7" width="15.44140625" bestFit="1" customWidth="1"/>
    <col min="8" max="8" width="10.33203125" bestFit="1" customWidth="1"/>
    <col min="9" max="9" width="7.6640625" bestFit="1" customWidth="1"/>
    <col min="10" max="10" width="5.21875" bestFit="1" customWidth="1"/>
    <col min="11" max="11" width="11.44140625" bestFit="1" customWidth="1"/>
    <col min="12" max="12" width="10.33203125" bestFit="1" customWidth="1"/>
  </cols>
  <sheetData>
    <row r="1" spans="1:24" ht="94.8" customHeight="1" thickBot="1" x14ac:dyDescent="0.35">
      <c r="B1" s="41"/>
      <c r="C1" s="41"/>
      <c r="D1" s="41"/>
      <c r="E1" s="41"/>
      <c r="F1" s="41"/>
      <c r="G1" s="41"/>
      <c r="H1" s="41"/>
      <c r="I1" s="41"/>
      <c r="J1" s="41"/>
      <c r="K1" s="41"/>
      <c r="L1" s="41"/>
      <c r="M1" s="41"/>
      <c r="N1" s="41"/>
      <c r="O1" s="41"/>
      <c r="P1" s="41"/>
      <c r="Q1" s="41"/>
      <c r="R1" s="41"/>
      <c r="S1" s="41"/>
      <c r="T1" s="41"/>
      <c r="U1" s="41"/>
      <c r="V1" s="41"/>
      <c r="W1" s="41"/>
      <c r="X1" s="41"/>
    </row>
    <row r="2" spans="1:24" ht="15.6" thickTop="1" thickBot="1" x14ac:dyDescent="0.35">
      <c r="A2" s="4"/>
      <c r="B2" s="39" t="s">
        <v>38</v>
      </c>
      <c r="C2" s="39"/>
      <c r="D2" s="39"/>
      <c r="E2" s="39"/>
      <c r="F2" s="39"/>
      <c r="G2" s="39"/>
      <c r="H2" s="39"/>
      <c r="I2" s="39"/>
      <c r="J2" s="39"/>
      <c r="K2" s="39"/>
    </row>
    <row r="3" spans="1:24" ht="15" thickTop="1" x14ac:dyDescent="0.3">
      <c r="A3" s="3" t="s">
        <v>16</v>
      </c>
      <c r="B3" s="3" t="s">
        <v>30</v>
      </c>
      <c r="C3" s="3" t="s">
        <v>27</v>
      </c>
      <c r="D3" s="3" t="s">
        <v>31</v>
      </c>
      <c r="E3" s="3" t="s">
        <v>32</v>
      </c>
      <c r="F3" s="3" t="s">
        <v>259</v>
      </c>
      <c r="G3" s="3" t="s">
        <v>33</v>
      </c>
      <c r="H3" s="3" t="s">
        <v>37</v>
      </c>
      <c r="I3" s="3" t="s">
        <v>34</v>
      </c>
      <c r="J3" s="3" t="s">
        <v>35</v>
      </c>
      <c r="K3" s="3" t="s">
        <v>36</v>
      </c>
    </row>
    <row r="4" spans="1:24" x14ac:dyDescent="0.3">
      <c r="A4" s="2">
        <v>1</v>
      </c>
      <c r="B4" s="2" t="s">
        <v>202</v>
      </c>
      <c r="C4" s="2" t="str">
        <f>'Room Details'!B4</f>
        <v>B001</v>
      </c>
      <c r="D4" s="2" t="str">
        <f>'Room Details'!C4</f>
        <v>R102</v>
      </c>
      <c r="E4" s="2" t="s">
        <v>252</v>
      </c>
      <c r="F4" s="2" t="s">
        <v>260</v>
      </c>
      <c r="G4" s="2" t="str" cm="1">
        <f t="array" ref="G4">_xlfn.SWITCH(E4,"F01","Biryani","F02","Puri","F03","Mutton Biryani","F04","Mutton Soup","F05","Veg Biryani","F06","Panner Biryani","F07","Mushroom Biryani")</f>
        <v>Biryani</v>
      </c>
      <c r="H4" s="9">
        <v>45728</v>
      </c>
      <c r="I4" s="2">
        <v>1</v>
      </c>
      <c r="J4" s="2" t="str" cm="1">
        <f t="array" ref="J4">_xlfn.SWITCH(E4,"F01","500","F02","100","F03","700","F04","300","F05","500","F06","350","F07","400")</f>
        <v>500</v>
      </c>
      <c r="K4" s="2">
        <f t="shared" ref="K4:K35" si="0">I4*J4</f>
        <v>500</v>
      </c>
    </row>
    <row r="5" spans="1:24" x14ac:dyDescent="0.3">
      <c r="A5" s="2">
        <v>2</v>
      </c>
      <c r="B5" s="2" t="s">
        <v>207</v>
      </c>
      <c r="C5" s="2" t="str">
        <f>'Room Details'!B5</f>
        <v>B002</v>
      </c>
      <c r="D5" s="2" t="str">
        <f>'Room Details'!C5</f>
        <v>R103</v>
      </c>
      <c r="E5" s="2" t="s">
        <v>253</v>
      </c>
      <c r="F5" s="2" t="s">
        <v>263</v>
      </c>
      <c r="G5" s="2" t="str" cm="1">
        <f t="array" ref="G5">_xlfn.SWITCH(E5,"F01","Biryani","F02","Puri","F03","Mutton Biryani","F04","Mutton Soup","F05","Veg Biryani","F06","Panner Biryani","F07","Mushroom Biryani")</f>
        <v>Puri</v>
      </c>
      <c r="H5" s="9">
        <v>45699</v>
      </c>
      <c r="I5" s="2">
        <v>2</v>
      </c>
      <c r="J5" s="2" t="str" cm="1">
        <f t="array" ref="J5">_xlfn.SWITCH(E5,"F01","500","F02","100","F03","700","F04","300","F05","500","F06","350","F07","400")</f>
        <v>100</v>
      </c>
      <c r="K5" s="2">
        <f t="shared" si="0"/>
        <v>200</v>
      </c>
    </row>
    <row r="6" spans="1:24" x14ac:dyDescent="0.3">
      <c r="A6" s="2">
        <v>3</v>
      </c>
      <c r="B6" s="2" t="s">
        <v>208</v>
      </c>
      <c r="C6" s="2" t="str">
        <f>'Room Details'!B6</f>
        <v>B003</v>
      </c>
      <c r="D6" s="2" t="str">
        <f>'Room Details'!C6</f>
        <v>R104</v>
      </c>
      <c r="E6" s="2" t="s">
        <v>254</v>
      </c>
      <c r="F6" s="2" t="s">
        <v>260</v>
      </c>
      <c r="G6" s="2" t="str" cm="1">
        <f t="array" ref="G6">_xlfn.SWITCH(E6,"F01","Biryani","F02","Puri","F03","Mutton Biryani","F04","Mutton Soup","F05","Veg Biryani","F06","Panner Biryani","F07","Mushroom Biryani")</f>
        <v>Mutton Biryani</v>
      </c>
      <c r="H6" s="9">
        <v>45882</v>
      </c>
      <c r="I6" s="2">
        <v>2</v>
      </c>
      <c r="J6" s="2" t="str" cm="1">
        <f t="array" ref="J6">_xlfn.SWITCH(E6,"F01","500","F02","100","F03","700","F04","300","F05","500","F06","350","F07","400")</f>
        <v>700</v>
      </c>
      <c r="K6" s="2">
        <f t="shared" si="0"/>
        <v>1400</v>
      </c>
    </row>
    <row r="7" spans="1:24" x14ac:dyDescent="0.3">
      <c r="A7" s="2">
        <v>4</v>
      </c>
      <c r="B7" s="2" t="s">
        <v>209</v>
      </c>
      <c r="C7" s="2" t="str">
        <f>'Room Details'!B7</f>
        <v>B004</v>
      </c>
      <c r="D7" s="2" t="str">
        <f>'Room Details'!C7</f>
        <v>R105</v>
      </c>
      <c r="E7" s="2" t="s">
        <v>255</v>
      </c>
      <c r="F7" s="2" t="s">
        <v>260</v>
      </c>
      <c r="G7" s="2" t="str" cm="1">
        <f t="array" ref="G7">_xlfn.SWITCH(E7,"F01","Biryani","F02","Puri","F03","Mutton Biryani","F04","Mutton Soup","F05","Veg Biryani","F06","Panner Biryani","F07","Mushroom Biryani")</f>
        <v>Mutton Soup</v>
      </c>
      <c r="H7" s="9">
        <v>45727</v>
      </c>
      <c r="I7" s="2">
        <v>3</v>
      </c>
      <c r="J7" s="2" t="str" cm="1">
        <f t="array" ref="J7">_xlfn.SWITCH(E7,"F01","500","F02","100","F03","700","F04","300","F05","500","F06","350","F07","400")</f>
        <v>300</v>
      </c>
      <c r="K7" s="2">
        <f t="shared" si="0"/>
        <v>900</v>
      </c>
    </row>
    <row r="8" spans="1:24" x14ac:dyDescent="0.3">
      <c r="A8" s="2">
        <v>5</v>
      </c>
      <c r="B8" s="2" t="s">
        <v>210</v>
      </c>
      <c r="C8" s="2" t="str">
        <f>'Room Details'!B8</f>
        <v>B005</v>
      </c>
      <c r="D8" s="2" t="str">
        <f>'Room Details'!C8</f>
        <v>R106</v>
      </c>
      <c r="E8" s="2" t="s">
        <v>256</v>
      </c>
      <c r="F8" s="2" t="s">
        <v>263</v>
      </c>
      <c r="G8" s="2" t="str" cm="1">
        <f t="array" ref="G8">_xlfn.SWITCH(E8,"F01","Biryani","F02","Puri","F03","Mutton Biryani","F04","Mutton Soup","F05","Veg Biryani","F06","Panner Biryani","F07","Mushroom Biryani")</f>
        <v>Veg Biryani</v>
      </c>
      <c r="H8" s="9">
        <v>46003</v>
      </c>
      <c r="I8" s="2">
        <v>1</v>
      </c>
      <c r="J8" s="2" t="str" cm="1">
        <f t="array" ref="J8">_xlfn.SWITCH(E8,"F01","500","F02","100","F03","700","F04","300","F05","500","F06","350","F07","400")</f>
        <v>500</v>
      </c>
      <c r="K8" s="2">
        <f t="shared" si="0"/>
        <v>500</v>
      </c>
    </row>
    <row r="9" spans="1:24" x14ac:dyDescent="0.3">
      <c r="A9" s="2">
        <v>6</v>
      </c>
      <c r="B9" s="2" t="s">
        <v>211</v>
      </c>
      <c r="C9" s="2" t="str">
        <f>'Room Details'!B9</f>
        <v>B006</v>
      </c>
      <c r="D9" s="2" t="str">
        <f>'Room Details'!C9</f>
        <v>R107</v>
      </c>
      <c r="E9" s="2" t="s">
        <v>257</v>
      </c>
      <c r="F9" s="2" t="s">
        <v>263</v>
      </c>
      <c r="G9" s="2" t="str" cm="1">
        <f t="array" ref="G9">_xlfn.SWITCH(E9,"F01","Biryani","F02","Puri","F03","Mutton Biryani","F04","Mutton Soup","F05","Veg Biryani","F06","Panner Biryani","F07","Mushroom Biryani")</f>
        <v>Panner Biryani</v>
      </c>
      <c r="H9" s="9">
        <v>45748</v>
      </c>
      <c r="I9" s="2">
        <v>2</v>
      </c>
      <c r="J9" s="2" t="str" cm="1">
        <f t="array" ref="J9">_xlfn.SWITCH(E9,"F01","500","F02","100","F03","700","F04","300","F05","500","F06","350","F07","400")</f>
        <v>350</v>
      </c>
      <c r="K9" s="2">
        <f t="shared" si="0"/>
        <v>700</v>
      </c>
    </row>
    <row r="10" spans="1:24" x14ac:dyDescent="0.3">
      <c r="A10" s="2">
        <v>7</v>
      </c>
      <c r="B10" s="2" t="s">
        <v>212</v>
      </c>
      <c r="C10" s="2" t="str">
        <f>'Room Details'!B10</f>
        <v>B007</v>
      </c>
      <c r="D10" s="2" t="str">
        <f>'Room Details'!C10</f>
        <v>R108</v>
      </c>
      <c r="E10" s="2" t="s">
        <v>258</v>
      </c>
      <c r="F10" s="2" t="s">
        <v>263</v>
      </c>
      <c r="G10" s="2" t="str" cm="1">
        <f t="array" ref="G10">_xlfn.SWITCH(E10,"F01","Biryani","F02","Puri","F03","Mutton Biryani","F04","Mutton Soup","F05","Veg Biryani","F06","Panner Biryani","F07","Mushroom Biryani")</f>
        <v>Mushroom Biryani</v>
      </c>
      <c r="H10" s="9">
        <v>45788</v>
      </c>
      <c r="I10" s="2">
        <v>2</v>
      </c>
      <c r="J10" s="2" t="str" cm="1">
        <f t="array" ref="J10">_xlfn.SWITCH(E10,"F01","500","F02","100","F03","700","F04","300","F05","500","F06","350","F07","400")</f>
        <v>400</v>
      </c>
      <c r="K10" s="2">
        <f t="shared" si="0"/>
        <v>800</v>
      </c>
    </row>
    <row r="11" spans="1:24" x14ac:dyDescent="0.3">
      <c r="A11" s="2">
        <v>8</v>
      </c>
      <c r="B11" s="2" t="s">
        <v>213</v>
      </c>
      <c r="C11" s="2" t="str">
        <f>'Room Details'!B11</f>
        <v>B008</v>
      </c>
      <c r="D11" s="2" t="str">
        <f>'Room Details'!C11</f>
        <v>R109</v>
      </c>
      <c r="E11" s="2" t="s">
        <v>254</v>
      </c>
      <c r="F11" s="2" t="s">
        <v>260</v>
      </c>
      <c r="G11" s="2" t="str" cm="1">
        <f t="array" ref="G11">_xlfn.SWITCH(E11,"F01","Biryani","F02","Puri","F03","Mutton Biryani","F04","Mutton Soup","F05","Veg Biryani","F06","Panner Biryani","F07","Mushroom Biryani")</f>
        <v>Mutton Biryani</v>
      </c>
      <c r="H11" s="9">
        <v>45911</v>
      </c>
      <c r="I11" s="2">
        <v>4</v>
      </c>
      <c r="J11" s="2" t="str" cm="1">
        <f t="array" ref="J11">_xlfn.SWITCH(E11,"F01","500","F02","100","F03","700","F04","300","F05","500","F06","350","F07","400")</f>
        <v>700</v>
      </c>
      <c r="K11" s="2">
        <f t="shared" si="0"/>
        <v>2800</v>
      </c>
    </row>
    <row r="12" spans="1:24" x14ac:dyDescent="0.3">
      <c r="A12" s="2">
        <v>9</v>
      </c>
      <c r="B12" s="2" t="s">
        <v>214</v>
      </c>
      <c r="C12" s="2" t="str">
        <f>'Room Details'!B12</f>
        <v>B009</v>
      </c>
      <c r="D12" s="2" t="str">
        <f>'Room Details'!C12</f>
        <v>R110</v>
      </c>
      <c r="E12" s="2" t="s">
        <v>255</v>
      </c>
      <c r="F12" s="2" t="s">
        <v>260</v>
      </c>
      <c r="G12" s="2" t="str" cm="1">
        <f t="array" ref="G12">_xlfn.SWITCH(E12,"F01","Biryani","F02","Puri","F03","Mutton Biryani","F04","Mutton Soup","F05","Veg Biryani","F06","Panner Biryani","F07","Mushroom Biryani")</f>
        <v>Mutton Soup</v>
      </c>
      <c r="H12" s="9">
        <v>45873</v>
      </c>
      <c r="I12" s="2">
        <v>2</v>
      </c>
      <c r="J12" s="2" t="str" cm="1">
        <f t="array" ref="J12">_xlfn.SWITCH(E12,"F01","500","F02","100","F03","700","F04","300","F05","500","F06","350","F07","400")</f>
        <v>300</v>
      </c>
      <c r="K12" s="2">
        <f t="shared" si="0"/>
        <v>600</v>
      </c>
    </row>
    <row r="13" spans="1:24" x14ac:dyDescent="0.3">
      <c r="A13" s="2">
        <v>10</v>
      </c>
      <c r="B13" s="2" t="s">
        <v>215</v>
      </c>
      <c r="C13" s="2" t="str">
        <f>'Room Details'!B13</f>
        <v>B010</v>
      </c>
      <c r="D13" s="2" t="str">
        <f>'Room Details'!C13</f>
        <v>R111</v>
      </c>
      <c r="E13" s="2" t="s">
        <v>256</v>
      </c>
      <c r="F13" s="2" t="s">
        <v>263</v>
      </c>
      <c r="G13" s="2" t="str" cm="1">
        <f t="array" ref="G13">_xlfn.SWITCH(E13,"F01","Biryani","F02","Puri","F03","Mutton Biryani","F04","Mutton Soup","F05","Veg Biryani","F06","Panner Biryani","F07","Mushroom Biryani")</f>
        <v>Veg Biryani</v>
      </c>
      <c r="H13" s="9">
        <v>45816</v>
      </c>
      <c r="I13" s="2">
        <v>1</v>
      </c>
      <c r="J13" s="2" t="str" cm="1">
        <f t="array" ref="J13">_xlfn.SWITCH(E13,"F01","500","F02","100","F03","700","F04","300","F05","500","F06","350","F07","400")</f>
        <v>500</v>
      </c>
      <c r="K13" s="2">
        <f t="shared" si="0"/>
        <v>500</v>
      </c>
    </row>
    <row r="14" spans="1:24" x14ac:dyDescent="0.3">
      <c r="A14" s="2">
        <v>11</v>
      </c>
      <c r="B14" s="2" t="s">
        <v>216</v>
      </c>
      <c r="C14" s="2" t="str">
        <f>'Room Details'!B14</f>
        <v>B011</v>
      </c>
      <c r="D14" s="2" t="str">
        <f>'Room Details'!C14</f>
        <v>R112</v>
      </c>
      <c r="E14" s="2" t="s">
        <v>257</v>
      </c>
      <c r="F14" s="2" t="s">
        <v>263</v>
      </c>
      <c r="G14" s="2" t="str" cm="1">
        <f t="array" ref="G14">_xlfn.SWITCH(E14,"F01","Biryani","F02","Puri","F03","Mutton Biryani","F04","Mutton Soup","F05","Veg Biryani","F06","Panner Biryani","F07","Mushroom Biryani")</f>
        <v>Panner Biryani</v>
      </c>
      <c r="H14" s="9">
        <v>45728</v>
      </c>
      <c r="I14" s="2">
        <v>2</v>
      </c>
      <c r="J14" s="2" t="str" cm="1">
        <f t="array" ref="J14">_xlfn.SWITCH(E14,"F01","500","F02","100","F03","700","F04","300","F05","500","F06","350","F07","400")</f>
        <v>350</v>
      </c>
      <c r="K14" s="2">
        <f t="shared" si="0"/>
        <v>700</v>
      </c>
    </row>
    <row r="15" spans="1:24" x14ac:dyDescent="0.3">
      <c r="A15" s="2">
        <v>12</v>
      </c>
      <c r="B15" s="2" t="s">
        <v>203</v>
      </c>
      <c r="C15" s="2" t="str">
        <f>'Room Details'!B15</f>
        <v>B012</v>
      </c>
      <c r="D15" s="2" t="str">
        <f>'Room Details'!C15</f>
        <v>R113</v>
      </c>
      <c r="E15" s="2" t="s">
        <v>258</v>
      </c>
      <c r="F15" s="2" t="s">
        <v>263</v>
      </c>
      <c r="G15" s="2" t="str" cm="1">
        <f t="array" ref="G15">_xlfn.SWITCH(E15,"F01","Biryani","F02","Puri","F03","Mutton Biryani","F04","Mutton Soup","F05","Veg Biryani","F06","Panner Biryani","F07","Mushroom Biryani")</f>
        <v>Mushroom Biryani</v>
      </c>
      <c r="H15" s="9">
        <v>45699</v>
      </c>
      <c r="I15" s="2">
        <v>1</v>
      </c>
      <c r="J15" s="2" t="str" cm="1">
        <f t="array" ref="J15">_xlfn.SWITCH(E15,"F01","500","F02","100","F03","700","F04","300","F05","500","F06","350","F07","400")</f>
        <v>400</v>
      </c>
      <c r="K15" s="2">
        <f t="shared" si="0"/>
        <v>400</v>
      </c>
    </row>
    <row r="16" spans="1:24" x14ac:dyDescent="0.3">
      <c r="A16" s="2">
        <v>13</v>
      </c>
      <c r="B16" s="2" t="s">
        <v>217</v>
      </c>
      <c r="C16" s="2" t="str">
        <f>'Room Details'!B16</f>
        <v>B013</v>
      </c>
      <c r="D16" s="2" t="str">
        <f>'Room Details'!C16</f>
        <v>R114</v>
      </c>
      <c r="E16" s="2" t="s">
        <v>252</v>
      </c>
      <c r="F16" s="2" t="s">
        <v>260</v>
      </c>
      <c r="G16" s="2" t="str" cm="1">
        <f t="array" ref="G16">_xlfn.SWITCH(E16,"F01","Biryani","F02","Puri","F03","Mutton Biryani","F04","Mutton Soup","F05","Veg Biryani","F06","Panner Biryani","F07","Mushroom Biryani")</f>
        <v>Biryani</v>
      </c>
      <c r="H16" s="9">
        <v>45882</v>
      </c>
      <c r="I16" s="2">
        <v>2</v>
      </c>
      <c r="J16" s="2" t="str" cm="1">
        <f t="array" ref="J16">_xlfn.SWITCH(E16,"F01","500","F02","100","F03","700","F04","300","F05","500","F06","350","F07","400")</f>
        <v>500</v>
      </c>
      <c r="K16" s="2">
        <f t="shared" si="0"/>
        <v>1000</v>
      </c>
    </row>
    <row r="17" spans="1:11" x14ac:dyDescent="0.3">
      <c r="A17" s="2">
        <v>14</v>
      </c>
      <c r="B17" s="2" t="s">
        <v>218</v>
      </c>
      <c r="C17" s="2" t="str">
        <f>'Room Details'!B17</f>
        <v>B014</v>
      </c>
      <c r="D17" s="2" t="str">
        <f>'Room Details'!C17</f>
        <v>R115</v>
      </c>
      <c r="E17" s="2" t="s">
        <v>253</v>
      </c>
      <c r="F17" s="2" t="s">
        <v>263</v>
      </c>
      <c r="G17" s="2" t="str" cm="1">
        <f t="array" ref="G17">_xlfn.SWITCH(E17,"F01","Biryani","F02","Puri","F03","Mutton Biryani","F04","Mutton Soup","F05","Veg Biryani","F06","Panner Biryani","F07","Mushroom Biryani")</f>
        <v>Puri</v>
      </c>
      <c r="H17" s="9">
        <v>45727</v>
      </c>
      <c r="I17" s="2">
        <v>1</v>
      </c>
      <c r="J17" s="2" t="str" cm="1">
        <f t="array" ref="J17">_xlfn.SWITCH(E17,"F01","500","F02","100","F03","700","F04","300","F05","500","F06","350","F07","400")</f>
        <v>100</v>
      </c>
      <c r="K17" s="2">
        <f t="shared" si="0"/>
        <v>100</v>
      </c>
    </row>
    <row r="18" spans="1:11" x14ac:dyDescent="0.3">
      <c r="A18" s="2">
        <v>15</v>
      </c>
      <c r="B18" s="2" t="s">
        <v>219</v>
      </c>
      <c r="C18" s="2" t="str">
        <f>'Room Details'!B18</f>
        <v>B015</v>
      </c>
      <c r="D18" s="2" t="str">
        <f>'Room Details'!C18</f>
        <v>R116</v>
      </c>
      <c r="E18" s="2" t="s">
        <v>254</v>
      </c>
      <c r="F18" s="2" t="s">
        <v>260</v>
      </c>
      <c r="G18" s="2" t="str" cm="1">
        <f t="array" ref="G18">_xlfn.SWITCH(E18,"F01","Biryani","F02","Puri","F03","Mutton Biryani","F04","Mutton Soup","F05","Veg Biryani","F06","Panner Biryani","F07","Mushroom Biryani")</f>
        <v>Mutton Biryani</v>
      </c>
      <c r="H18" s="9">
        <v>46003</v>
      </c>
      <c r="I18" s="2">
        <v>2</v>
      </c>
      <c r="J18" s="2" t="str" cm="1">
        <f t="array" ref="J18">_xlfn.SWITCH(E18,"F01","500","F02","100","F03","700","F04","300","F05","500","F06","350","F07","400")</f>
        <v>700</v>
      </c>
      <c r="K18" s="2">
        <f t="shared" si="0"/>
        <v>1400</v>
      </c>
    </row>
    <row r="19" spans="1:11" x14ac:dyDescent="0.3">
      <c r="A19" s="2">
        <v>16</v>
      </c>
      <c r="B19" s="2" t="s">
        <v>220</v>
      </c>
      <c r="C19" s="2" t="str">
        <f>'Room Details'!B19</f>
        <v>B016</v>
      </c>
      <c r="D19" s="2" t="str">
        <f>'Room Details'!C19</f>
        <v>R117</v>
      </c>
      <c r="E19" s="2" t="s">
        <v>255</v>
      </c>
      <c r="F19" s="2" t="s">
        <v>260</v>
      </c>
      <c r="G19" s="2" t="str" cm="1">
        <f t="array" ref="G19">_xlfn.SWITCH(E19,"F01","Biryani","F02","Puri","F03","Mutton Biryani","F04","Mutton Soup","F05","Veg Biryani","F06","Panner Biryani","F07","Mushroom Biryani")</f>
        <v>Mutton Soup</v>
      </c>
      <c r="H19" s="9">
        <v>45748</v>
      </c>
      <c r="I19" s="2">
        <v>2</v>
      </c>
      <c r="J19" s="2" t="str" cm="1">
        <f t="array" ref="J19">_xlfn.SWITCH(E19,"F01","500","F02","100","F03","700","F04","300","F05","500","F06","350","F07","400")</f>
        <v>300</v>
      </c>
      <c r="K19" s="2">
        <f t="shared" si="0"/>
        <v>600</v>
      </c>
    </row>
    <row r="20" spans="1:11" x14ac:dyDescent="0.3">
      <c r="A20" s="2">
        <v>17</v>
      </c>
      <c r="B20" s="2" t="s">
        <v>221</v>
      </c>
      <c r="C20" s="2" t="str">
        <f>'Room Details'!B20</f>
        <v>B017</v>
      </c>
      <c r="D20" s="2" t="str">
        <f>'Room Details'!C20</f>
        <v>R118</v>
      </c>
      <c r="E20" s="2" t="s">
        <v>256</v>
      </c>
      <c r="F20" s="2" t="s">
        <v>263</v>
      </c>
      <c r="G20" s="2" t="str" cm="1">
        <f t="array" ref="G20">_xlfn.SWITCH(E20,"F01","Biryani","F02","Puri","F03","Mutton Biryani","F04","Mutton Soup","F05","Veg Biryani","F06","Panner Biryani","F07","Mushroom Biryani")</f>
        <v>Veg Biryani</v>
      </c>
      <c r="H20" s="9">
        <v>45788</v>
      </c>
      <c r="I20" s="2">
        <v>3</v>
      </c>
      <c r="J20" s="2" t="str" cm="1">
        <f t="array" ref="J20">_xlfn.SWITCH(E20,"F01","500","F02","100","F03","700","F04","300","F05","500","F06","350","F07","400")</f>
        <v>500</v>
      </c>
      <c r="K20" s="2">
        <f t="shared" si="0"/>
        <v>1500</v>
      </c>
    </row>
    <row r="21" spans="1:11" x14ac:dyDescent="0.3">
      <c r="A21" s="2">
        <v>18</v>
      </c>
      <c r="B21" s="2" t="s">
        <v>222</v>
      </c>
      <c r="C21" s="2" t="str">
        <f>'Room Details'!B21</f>
        <v>B018</v>
      </c>
      <c r="D21" s="2" t="str">
        <f>'Room Details'!C21</f>
        <v>R119</v>
      </c>
      <c r="E21" s="2" t="s">
        <v>257</v>
      </c>
      <c r="F21" s="2" t="s">
        <v>263</v>
      </c>
      <c r="G21" s="2" t="str" cm="1">
        <f t="array" ref="G21">_xlfn.SWITCH(E21,"F01","Biryani","F02","Puri","F03","Mutton Biryani","F04","Mutton Soup","F05","Veg Biryani","F06","Panner Biryani","F07","Mushroom Biryani")</f>
        <v>Panner Biryani</v>
      </c>
      <c r="H21" s="9">
        <v>45911</v>
      </c>
      <c r="I21" s="2">
        <v>1</v>
      </c>
      <c r="J21" s="2" t="str" cm="1">
        <f t="array" ref="J21">_xlfn.SWITCH(E21,"F01","500","F02","100","F03","700","F04","300","F05","500","F06","350","F07","400")</f>
        <v>350</v>
      </c>
      <c r="K21" s="2">
        <f t="shared" si="0"/>
        <v>350</v>
      </c>
    </row>
    <row r="22" spans="1:11" x14ac:dyDescent="0.3">
      <c r="A22" s="2">
        <v>19</v>
      </c>
      <c r="B22" s="2" t="s">
        <v>223</v>
      </c>
      <c r="C22" s="2" t="str">
        <f>'Room Details'!B22</f>
        <v>B019</v>
      </c>
      <c r="D22" s="2" t="str">
        <f>'Room Details'!C22</f>
        <v>R120</v>
      </c>
      <c r="E22" s="2" t="s">
        <v>258</v>
      </c>
      <c r="F22" s="2" t="s">
        <v>263</v>
      </c>
      <c r="G22" s="2" t="str" cm="1">
        <f t="array" ref="G22">_xlfn.SWITCH(E22,"F01","Biryani","F02","Puri","F03","Mutton Biryani","F04","Mutton Soup","F05","Veg Biryani","F06","Panner Biryani","F07","Mushroom Biryani")</f>
        <v>Mushroom Biryani</v>
      </c>
      <c r="H22" s="9">
        <v>45873</v>
      </c>
      <c r="I22" s="2">
        <v>2</v>
      </c>
      <c r="J22" s="2" t="str" cm="1">
        <f t="array" ref="J22">_xlfn.SWITCH(E22,"F01","500","F02","100","F03","700","F04","300","F05","500","F06","350","F07","400")</f>
        <v>400</v>
      </c>
      <c r="K22" s="2">
        <f t="shared" si="0"/>
        <v>800</v>
      </c>
    </row>
    <row r="23" spans="1:11" x14ac:dyDescent="0.3">
      <c r="A23" s="2">
        <v>20</v>
      </c>
      <c r="B23" s="2" t="s">
        <v>224</v>
      </c>
      <c r="C23" s="2" t="str">
        <f>'Room Details'!B23</f>
        <v>B020</v>
      </c>
      <c r="D23" s="2" t="str">
        <f>'Room Details'!C23</f>
        <v>R121</v>
      </c>
      <c r="E23" s="2" t="s">
        <v>256</v>
      </c>
      <c r="F23" s="2" t="s">
        <v>263</v>
      </c>
      <c r="G23" s="2" t="str" cm="1">
        <f t="array" ref="G23">_xlfn.SWITCH(E23,"F01","Biryani","F02","Puri","F03","Mutton Biryani","F04","Mutton Soup","F05","Veg Biryani","F06","Panner Biryani","F07","Mushroom Biryani")</f>
        <v>Veg Biryani</v>
      </c>
      <c r="H23" s="9">
        <v>45816</v>
      </c>
      <c r="I23" s="2">
        <v>3</v>
      </c>
      <c r="J23" s="2" t="str" cm="1">
        <f t="array" ref="J23">_xlfn.SWITCH(E23,"F01","500","F02","100","F03","700","F04","300","F05","500","F06","350","F07","400")</f>
        <v>500</v>
      </c>
      <c r="K23" s="2">
        <f t="shared" si="0"/>
        <v>1500</v>
      </c>
    </row>
    <row r="24" spans="1:11" x14ac:dyDescent="0.3">
      <c r="A24" s="2">
        <v>21</v>
      </c>
      <c r="B24" s="2" t="s">
        <v>225</v>
      </c>
      <c r="C24" s="2" t="str">
        <f>'Room Details'!B24</f>
        <v>B021</v>
      </c>
      <c r="D24" s="2" t="str">
        <f>'Room Details'!C24</f>
        <v>R122</v>
      </c>
      <c r="E24" s="2" t="s">
        <v>257</v>
      </c>
      <c r="F24" s="2" t="s">
        <v>263</v>
      </c>
      <c r="G24" s="2" t="str" cm="1">
        <f t="array" ref="G24">_xlfn.SWITCH(E24,"F01","Biryani","F02","Puri","F03","Mutton Biryani","F04","Mutton Soup","F05","Veg Biryani","F06","Panner Biryani","F07","Mushroom Biryani")</f>
        <v>Panner Biryani</v>
      </c>
      <c r="H24" s="9">
        <v>45728</v>
      </c>
      <c r="I24" s="2">
        <v>1</v>
      </c>
      <c r="J24" s="2" t="str" cm="1">
        <f t="array" ref="J24">_xlfn.SWITCH(E24,"F01","500","F02","100","F03","700","F04","300","F05","500","F06","350","F07","400")</f>
        <v>350</v>
      </c>
      <c r="K24" s="2">
        <f t="shared" si="0"/>
        <v>350</v>
      </c>
    </row>
    <row r="25" spans="1:11" x14ac:dyDescent="0.3">
      <c r="A25" s="2">
        <v>22</v>
      </c>
      <c r="B25" s="2" t="s">
        <v>226</v>
      </c>
      <c r="C25" s="2" t="str">
        <f>'Room Details'!B25</f>
        <v>B022</v>
      </c>
      <c r="D25" s="2" t="str">
        <f>'Room Details'!C25</f>
        <v>R123</v>
      </c>
      <c r="E25" s="2" t="s">
        <v>258</v>
      </c>
      <c r="F25" s="2" t="s">
        <v>263</v>
      </c>
      <c r="G25" s="2" t="str" cm="1">
        <f t="array" ref="G25">_xlfn.SWITCH(E25,"F01","Biryani","F02","Puri","F03","Mutton Biryani","F04","Mutton Soup","F05","Veg Biryani","F06","Panner Biryani","F07","Mushroom Biryani")</f>
        <v>Mushroom Biryani</v>
      </c>
      <c r="H25" s="9">
        <v>45699</v>
      </c>
      <c r="I25" s="2">
        <v>1</v>
      </c>
      <c r="J25" s="2" t="str" cm="1">
        <f t="array" ref="J25">_xlfn.SWITCH(E25,"F01","500","F02","100","F03","700","F04","300","F05","500","F06","350","F07","400")</f>
        <v>400</v>
      </c>
      <c r="K25" s="2">
        <f t="shared" si="0"/>
        <v>400</v>
      </c>
    </row>
    <row r="26" spans="1:11" x14ac:dyDescent="0.3">
      <c r="A26" s="2">
        <v>23</v>
      </c>
      <c r="B26" s="2" t="s">
        <v>204</v>
      </c>
      <c r="C26" s="2" t="str">
        <f>'Room Details'!B26</f>
        <v>B023</v>
      </c>
      <c r="D26" s="2" t="str">
        <f>'Room Details'!C26</f>
        <v>R124</v>
      </c>
      <c r="E26" s="2" t="s">
        <v>252</v>
      </c>
      <c r="F26" s="2" t="s">
        <v>260</v>
      </c>
      <c r="G26" s="2" t="str" cm="1">
        <f t="array" ref="G26">_xlfn.SWITCH(E26,"F01","Biryani","F02","Puri","F03","Mutton Biryani","F04","Mutton Soup","F05","Veg Biryani","F06","Panner Biryani","F07","Mushroom Biryani")</f>
        <v>Biryani</v>
      </c>
      <c r="H26" s="9">
        <v>45882</v>
      </c>
      <c r="I26" s="2">
        <v>3</v>
      </c>
      <c r="J26" s="2" t="str" cm="1">
        <f t="array" ref="J26">_xlfn.SWITCH(E26,"F01","500","F02","100","F03","700","F04","300","F05","500","F06","350","F07","400")</f>
        <v>500</v>
      </c>
      <c r="K26" s="2">
        <f t="shared" si="0"/>
        <v>1500</v>
      </c>
    </row>
    <row r="27" spans="1:11" x14ac:dyDescent="0.3">
      <c r="A27" s="2">
        <v>24</v>
      </c>
      <c r="B27" s="2" t="s">
        <v>227</v>
      </c>
      <c r="C27" s="2" t="str">
        <f>'Room Details'!B27</f>
        <v>B024</v>
      </c>
      <c r="D27" s="2" t="str">
        <f>'Room Details'!C27</f>
        <v>R125</v>
      </c>
      <c r="E27" s="2" t="s">
        <v>253</v>
      </c>
      <c r="F27" s="2" t="s">
        <v>263</v>
      </c>
      <c r="G27" s="2" t="str" cm="1">
        <f t="array" ref="G27">_xlfn.SWITCH(E27,"F01","Biryani","F02","Puri","F03","Mutton Biryani","F04","Mutton Soup","F05","Veg Biryani","F06","Panner Biryani","F07","Mushroom Biryani")</f>
        <v>Puri</v>
      </c>
      <c r="H27" s="9">
        <v>45727</v>
      </c>
      <c r="I27" s="2">
        <v>2</v>
      </c>
      <c r="J27" s="2" t="str" cm="1">
        <f t="array" ref="J27">_xlfn.SWITCH(E27,"F01","500","F02","100","F03","700","F04","300","F05","500","F06","350","F07","400")</f>
        <v>100</v>
      </c>
      <c r="K27" s="2">
        <f t="shared" si="0"/>
        <v>200</v>
      </c>
    </row>
    <row r="28" spans="1:11" x14ac:dyDescent="0.3">
      <c r="A28" s="2">
        <v>25</v>
      </c>
      <c r="B28" s="2" t="s">
        <v>228</v>
      </c>
      <c r="C28" s="2" t="str">
        <f>'Room Details'!B28</f>
        <v>B025</v>
      </c>
      <c r="D28" s="2" t="str">
        <f>'Room Details'!C28</f>
        <v>R126</v>
      </c>
      <c r="E28" s="2" t="s">
        <v>254</v>
      </c>
      <c r="F28" s="2" t="s">
        <v>260</v>
      </c>
      <c r="G28" s="2" t="str" cm="1">
        <f t="array" ref="G28">_xlfn.SWITCH(E28,"F01","Biryani","F02","Puri","F03","Mutton Biryani","F04","Mutton Soup","F05","Veg Biryani","F06","Panner Biryani","F07","Mushroom Biryani")</f>
        <v>Mutton Biryani</v>
      </c>
      <c r="H28" s="9">
        <v>46003</v>
      </c>
      <c r="I28" s="2">
        <v>3</v>
      </c>
      <c r="J28" s="2" t="str" cm="1">
        <f t="array" ref="J28">_xlfn.SWITCH(E28,"F01","500","F02","100","F03","700","F04","300","F05","500","F06","350","F07","400")</f>
        <v>700</v>
      </c>
      <c r="K28" s="2">
        <f t="shared" si="0"/>
        <v>2100</v>
      </c>
    </row>
    <row r="29" spans="1:11" x14ac:dyDescent="0.3">
      <c r="A29" s="2">
        <v>26</v>
      </c>
      <c r="B29" s="2" t="s">
        <v>229</v>
      </c>
      <c r="C29" s="2" t="str">
        <f>'Room Details'!B29</f>
        <v>B026</v>
      </c>
      <c r="D29" s="2" t="str">
        <f>'Room Details'!C29</f>
        <v>R127</v>
      </c>
      <c r="E29" s="2" t="s">
        <v>255</v>
      </c>
      <c r="F29" s="2" t="s">
        <v>260</v>
      </c>
      <c r="G29" s="2" t="str" cm="1">
        <f t="array" ref="G29">_xlfn.SWITCH(E29,"F01","Biryani","F02","Puri","F03","Mutton Biryani","F04","Mutton Soup","F05","Veg Biryani","F06","Panner Biryani","F07","Mushroom Biryani")</f>
        <v>Mutton Soup</v>
      </c>
      <c r="H29" s="9">
        <v>45748</v>
      </c>
      <c r="I29" s="2">
        <v>1</v>
      </c>
      <c r="J29" s="2" t="str" cm="1">
        <f t="array" ref="J29">_xlfn.SWITCH(E29,"F01","500","F02","100","F03","700","F04","300","F05","500","F06","350","F07","400")</f>
        <v>300</v>
      </c>
      <c r="K29" s="2">
        <f t="shared" si="0"/>
        <v>300</v>
      </c>
    </row>
    <row r="30" spans="1:11" x14ac:dyDescent="0.3">
      <c r="A30" s="2">
        <v>27</v>
      </c>
      <c r="B30" s="2" t="s">
        <v>230</v>
      </c>
      <c r="C30" s="2" t="str">
        <f>'Room Details'!B30</f>
        <v>B027</v>
      </c>
      <c r="D30" s="2" t="str">
        <f>'Room Details'!C30</f>
        <v>R128</v>
      </c>
      <c r="E30" s="2" t="s">
        <v>256</v>
      </c>
      <c r="F30" s="2" t="s">
        <v>263</v>
      </c>
      <c r="G30" s="2" t="str" cm="1">
        <f t="array" ref="G30">_xlfn.SWITCH(E30,"F01","Biryani","F02","Puri","F03","Mutton Biryani","F04","Mutton Soup","F05","Veg Biryani","F06","Panner Biryani","F07","Mushroom Biryani")</f>
        <v>Veg Biryani</v>
      </c>
      <c r="H30" s="9">
        <v>45788</v>
      </c>
      <c r="I30" s="2">
        <v>4</v>
      </c>
      <c r="J30" s="2" t="str" cm="1">
        <f t="array" ref="J30">_xlfn.SWITCH(E30,"F01","500","F02","100","F03","700","F04","300","F05","500","F06","350","F07","400")</f>
        <v>500</v>
      </c>
      <c r="K30" s="2">
        <f t="shared" si="0"/>
        <v>2000</v>
      </c>
    </row>
    <row r="31" spans="1:11" x14ac:dyDescent="0.3">
      <c r="A31" s="2">
        <v>28</v>
      </c>
      <c r="B31" s="2" t="s">
        <v>231</v>
      </c>
      <c r="C31" s="2" t="str">
        <f>'Room Details'!B31</f>
        <v>B028</v>
      </c>
      <c r="D31" s="2" t="str">
        <f>'Room Details'!C31</f>
        <v>R129</v>
      </c>
      <c r="E31" s="2" t="s">
        <v>257</v>
      </c>
      <c r="F31" s="2" t="s">
        <v>263</v>
      </c>
      <c r="G31" s="2" t="str" cm="1">
        <f t="array" ref="G31">_xlfn.SWITCH(E31,"F01","Biryani","F02","Puri","F03","Mutton Biryani","F04","Mutton Soup","F05","Veg Biryani","F06","Panner Biryani","F07","Mushroom Biryani")</f>
        <v>Panner Biryani</v>
      </c>
      <c r="H31" s="9">
        <v>45911</v>
      </c>
      <c r="I31" s="2">
        <v>4</v>
      </c>
      <c r="J31" s="2" t="str" cm="1">
        <f t="array" ref="J31">_xlfn.SWITCH(E31,"F01","500","F02","100","F03","700","F04","300","F05","500","F06","350","F07","400")</f>
        <v>350</v>
      </c>
      <c r="K31" s="2">
        <f t="shared" si="0"/>
        <v>1400</v>
      </c>
    </row>
    <row r="32" spans="1:11" x14ac:dyDescent="0.3">
      <c r="A32" s="2">
        <v>29</v>
      </c>
      <c r="B32" s="2" t="s">
        <v>232</v>
      </c>
      <c r="C32" s="2" t="str">
        <f>'Room Details'!B32</f>
        <v>B029</v>
      </c>
      <c r="D32" s="2" t="str">
        <f>'Room Details'!C32</f>
        <v>R130</v>
      </c>
      <c r="E32" s="2" t="s">
        <v>258</v>
      </c>
      <c r="F32" s="2" t="s">
        <v>263</v>
      </c>
      <c r="G32" s="2" t="str" cm="1">
        <f t="array" ref="G32">_xlfn.SWITCH(E32,"F01","Biryani","F02","Puri","F03","Mutton Biryani","F04","Mutton Soup","F05","Veg Biryani","F06","Panner Biryani","F07","Mushroom Biryani")</f>
        <v>Mushroom Biryani</v>
      </c>
      <c r="H32" s="9">
        <v>45873</v>
      </c>
      <c r="I32" s="2">
        <v>3</v>
      </c>
      <c r="J32" s="2" t="str" cm="1">
        <f t="array" ref="J32">_xlfn.SWITCH(E32,"F01","500","F02","100","F03","700","F04","300","F05","500","F06","350","F07","400")</f>
        <v>400</v>
      </c>
      <c r="K32" s="2">
        <f t="shared" si="0"/>
        <v>1200</v>
      </c>
    </row>
    <row r="33" spans="1:11" x14ac:dyDescent="0.3">
      <c r="A33" s="2">
        <v>30</v>
      </c>
      <c r="B33" s="2" t="s">
        <v>233</v>
      </c>
      <c r="C33" s="2" t="str">
        <f>'Room Details'!B33</f>
        <v>B030</v>
      </c>
      <c r="D33" s="2" t="str">
        <f>'Room Details'!C33</f>
        <v>R131</v>
      </c>
      <c r="E33" s="2" t="s">
        <v>256</v>
      </c>
      <c r="F33" s="2" t="s">
        <v>263</v>
      </c>
      <c r="G33" s="2" t="str" cm="1">
        <f t="array" ref="G33">_xlfn.SWITCH(E33,"F01","Biryani","F02","Puri","F03","Mutton Biryani","F04","Mutton Soup","F05","Veg Biryani","F06","Panner Biryani","F07","Mushroom Biryani")</f>
        <v>Veg Biryani</v>
      </c>
      <c r="H33" s="9">
        <v>45816</v>
      </c>
      <c r="I33" s="2">
        <v>2</v>
      </c>
      <c r="J33" s="2" t="str" cm="1">
        <f t="array" ref="J33">_xlfn.SWITCH(E33,"F01","500","F02","100","F03","700","F04","300","F05","500","F06","350","F07","400")</f>
        <v>500</v>
      </c>
      <c r="K33" s="2">
        <f t="shared" si="0"/>
        <v>1000</v>
      </c>
    </row>
    <row r="34" spans="1:11" x14ac:dyDescent="0.3">
      <c r="A34" s="2">
        <v>31</v>
      </c>
      <c r="B34" s="2" t="s">
        <v>234</v>
      </c>
      <c r="C34" s="2" t="str">
        <f>'Room Details'!B34</f>
        <v>B031</v>
      </c>
      <c r="D34" s="2" t="str">
        <f>'Room Details'!C34</f>
        <v>R132</v>
      </c>
      <c r="E34" s="2" t="s">
        <v>257</v>
      </c>
      <c r="F34" s="2" t="s">
        <v>263</v>
      </c>
      <c r="G34" s="2" t="str" cm="1">
        <f t="array" ref="G34">_xlfn.SWITCH(E34,"F01","Biryani","F02","Puri","F03","Mutton Biryani","F04","Mutton Soup","F05","Veg Biryani","F06","Panner Biryani","F07","Mushroom Biryani")</f>
        <v>Panner Biryani</v>
      </c>
      <c r="H34" s="9">
        <v>45728</v>
      </c>
      <c r="I34" s="2">
        <v>4</v>
      </c>
      <c r="J34" s="2" t="str" cm="1">
        <f t="array" ref="J34">_xlfn.SWITCH(E34,"F01","500","F02","100","F03","700","F04","300","F05","500","F06","350","F07","400")</f>
        <v>350</v>
      </c>
      <c r="K34" s="2">
        <f t="shared" si="0"/>
        <v>1400</v>
      </c>
    </row>
    <row r="35" spans="1:11" x14ac:dyDescent="0.3">
      <c r="A35" s="2">
        <v>32</v>
      </c>
      <c r="B35" s="2" t="s">
        <v>235</v>
      </c>
      <c r="C35" s="2" t="str">
        <f>'Room Details'!B35</f>
        <v>B032</v>
      </c>
      <c r="D35" s="2" t="str">
        <f>'Room Details'!C35</f>
        <v>R133</v>
      </c>
      <c r="E35" s="2" t="s">
        <v>258</v>
      </c>
      <c r="F35" s="2" t="s">
        <v>263</v>
      </c>
      <c r="G35" s="2" t="str" cm="1">
        <f t="array" ref="G35">_xlfn.SWITCH(E35,"F01","Biryani","F02","Puri","F03","Mutton Biryani","F04","Mutton Soup","F05","Veg Biryani","F06","Panner Biryani","F07","Mushroom Biryani")</f>
        <v>Mushroom Biryani</v>
      </c>
      <c r="H35" s="9">
        <v>45699</v>
      </c>
      <c r="I35" s="2">
        <v>1</v>
      </c>
      <c r="J35" s="2" t="str" cm="1">
        <f t="array" ref="J35">_xlfn.SWITCH(E35,"F01","500","F02","100","F03","700","F04","300","F05","500","F06","350","F07","400")</f>
        <v>400</v>
      </c>
      <c r="K35" s="2">
        <f t="shared" si="0"/>
        <v>400</v>
      </c>
    </row>
    <row r="36" spans="1:11" x14ac:dyDescent="0.3">
      <c r="A36" s="2">
        <v>33</v>
      </c>
      <c r="B36" s="2" t="s">
        <v>236</v>
      </c>
      <c r="C36" s="2" t="str">
        <f>'Room Details'!B36</f>
        <v>B033</v>
      </c>
      <c r="D36" s="2" t="str">
        <f>'Room Details'!C36</f>
        <v>R134</v>
      </c>
      <c r="E36" s="2" t="s">
        <v>252</v>
      </c>
      <c r="F36" s="2" t="s">
        <v>260</v>
      </c>
      <c r="G36" s="2" t="str" cm="1">
        <f t="array" ref="G36">_xlfn.SWITCH(E36,"F01","Biryani","F02","Puri","F03","Mutton Biryani","F04","Mutton Soup","F05","Veg Biryani","F06","Panner Biryani","F07","Mushroom Biryani")</f>
        <v>Biryani</v>
      </c>
      <c r="H36" s="9">
        <v>45882</v>
      </c>
      <c r="I36" s="2">
        <v>3</v>
      </c>
      <c r="J36" s="2" t="str" cm="1">
        <f t="array" ref="J36">_xlfn.SWITCH(E36,"F01","500","F02","100","F03","700","F04","300","F05","500","F06","350","F07","400")</f>
        <v>500</v>
      </c>
      <c r="K36" s="2">
        <f t="shared" ref="K36:K53" si="1">I36*J36</f>
        <v>1500</v>
      </c>
    </row>
    <row r="37" spans="1:11" x14ac:dyDescent="0.3">
      <c r="A37" s="2">
        <v>34</v>
      </c>
      <c r="B37" s="2" t="s">
        <v>205</v>
      </c>
      <c r="C37" s="2" t="str">
        <f>'Room Details'!B37</f>
        <v>B034</v>
      </c>
      <c r="D37" s="2" t="str">
        <f>'Room Details'!C37</f>
        <v>R135</v>
      </c>
      <c r="E37" s="2" t="s">
        <v>253</v>
      </c>
      <c r="F37" s="2" t="s">
        <v>263</v>
      </c>
      <c r="G37" s="2" t="str" cm="1">
        <f t="array" ref="G37">_xlfn.SWITCH(E37,"F01","Biryani","F02","Puri","F03","Mutton Biryani","F04","Mutton Soup","F05","Veg Biryani","F06","Panner Biryani","F07","Mushroom Biryani")</f>
        <v>Puri</v>
      </c>
      <c r="H37" s="9">
        <v>45727</v>
      </c>
      <c r="I37" s="2">
        <v>2</v>
      </c>
      <c r="J37" s="2" t="str" cm="1">
        <f t="array" ref="J37">_xlfn.SWITCH(E37,"F01","500","F02","100","F03","700","F04","300","F05","500","F06","350","F07","400")</f>
        <v>100</v>
      </c>
      <c r="K37" s="2">
        <f t="shared" si="1"/>
        <v>200</v>
      </c>
    </row>
    <row r="38" spans="1:11" x14ac:dyDescent="0.3">
      <c r="A38" s="2">
        <v>35</v>
      </c>
      <c r="B38" s="2" t="s">
        <v>237</v>
      </c>
      <c r="C38" s="2" t="str">
        <f>'Room Details'!B38</f>
        <v>B035</v>
      </c>
      <c r="D38" s="2" t="str">
        <f>'Room Details'!C38</f>
        <v>R136</v>
      </c>
      <c r="E38" s="2" t="s">
        <v>256</v>
      </c>
      <c r="F38" s="2" t="s">
        <v>263</v>
      </c>
      <c r="G38" s="2" t="str" cm="1">
        <f t="array" ref="G38">_xlfn.SWITCH(E38,"F01","Biryani","F02","Puri","F03","Mutton Biryani","F04","Mutton Soup","F05","Veg Biryani","F06","Panner Biryani","F07","Mushroom Biryani")</f>
        <v>Veg Biryani</v>
      </c>
      <c r="H38" s="9">
        <v>46003</v>
      </c>
      <c r="I38" s="2">
        <v>4</v>
      </c>
      <c r="J38" s="2" t="str" cm="1">
        <f t="array" ref="J38">_xlfn.SWITCH(E38,"F01","500","F02","100","F03","700","F04","300","F05","500","F06","350","F07","400")</f>
        <v>500</v>
      </c>
      <c r="K38" s="2">
        <f t="shared" si="1"/>
        <v>2000</v>
      </c>
    </row>
    <row r="39" spans="1:11" x14ac:dyDescent="0.3">
      <c r="A39" s="2">
        <v>36</v>
      </c>
      <c r="B39" s="2" t="s">
        <v>238</v>
      </c>
      <c r="C39" s="2" t="str">
        <f>'Room Details'!B39</f>
        <v>B036</v>
      </c>
      <c r="D39" s="2" t="str">
        <f>'Room Details'!C39</f>
        <v>R137</v>
      </c>
      <c r="E39" s="2" t="s">
        <v>257</v>
      </c>
      <c r="F39" s="2" t="s">
        <v>263</v>
      </c>
      <c r="G39" s="2" t="str" cm="1">
        <f t="array" ref="G39">_xlfn.SWITCH(E39,"F01","Biryani","F02","Puri","F03","Mutton Biryani","F04","Mutton Soup","F05","Veg Biryani","F06","Panner Biryani","F07","Mushroom Biryani")</f>
        <v>Panner Biryani</v>
      </c>
      <c r="H39" s="9">
        <v>45748</v>
      </c>
      <c r="I39" s="2">
        <v>2</v>
      </c>
      <c r="J39" s="2" t="str" cm="1">
        <f t="array" ref="J39">_xlfn.SWITCH(E39,"F01","500","F02","100","F03","700","F04","300","F05","500","F06","350","F07","400")</f>
        <v>350</v>
      </c>
      <c r="K39" s="2">
        <f t="shared" si="1"/>
        <v>700</v>
      </c>
    </row>
    <row r="40" spans="1:11" x14ac:dyDescent="0.3">
      <c r="A40" s="2">
        <v>37</v>
      </c>
      <c r="B40" s="2" t="s">
        <v>239</v>
      </c>
      <c r="C40" s="2" t="str">
        <f>'Room Details'!B40</f>
        <v>B037</v>
      </c>
      <c r="D40" s="2" t="str">
        <f>'Room Details'!C40</f>
        <v>R138</v>
      </c>
      <c r="E40" s="2" t="s">
        <v>258</v>
      </c>
      <c r="F40" s="2" t="s">
        <v>263</v>
      </c>
      <c r="G40" s="2" t="str" cm="1">
        <f t="array" ref="G40">_xlfn.SWITCH(E40,"F01","Biryani","F02","Puri","F03","Mutton Biryani","F04","Mutton Soup","F05","Veg Biryani","F06","Panner Biryani","F07","Mushroom Biryani")</f>
        <v>Mushroom Biryani</v>
      </c>
      <c r="H40" s="9">
        <v>45788</v>
      </c>
      <c r="I40" s="2">
        <v>4</v>
      </c>
      <c r="J40" s="2" t="str" cm="1">
        <f t="array" ref="J40">_xlfn.SWITCH(E40,"F01","500","F02","100","F03","700","F04","300","F05","500","F06","350","F07","400")</f>
        <v>400</v>
      </c>
      <c r="K40" s="2">
        <f t="shared" si="1"/>
        <v>1600</v>
      </c>
    </row>
    <row r="41" spans="1:11" x14ac:dyDescent="0.3">
      <c r="A41" s="2">
        <v>38</v>
      </c>
      <c r="B41" s="2" t="s">
        <v>240</v>
      </c>
      <c r="C41" s="2" t="str">
        <f>'Room Details'!B41</f>
        <v>B038</v>
      </c>
      <c r="D41" s="2" t="str">
        <f>'Room Details'!C41</f>
        <v>R139</v>
      </c>
      <c r="E41" s="2" t="s">
        <v>254</v>
      </c>
      <c r="F41" s="2" t="s">
        <v>260</v>
      </c>
      <c r="G41" s="2" t="str" cm="1">
        <f t="array" ref="G41">_xlfn.SWITCH(E41,"F01","Biryani","F02","Puri","F03","Mutton Biryani","F04","Mutton Soup","F05","Veg Biryani","F06","Panner Biryani","F07","Mushroom Biryani")</f>
        <v>Mutton Biryani</v>
      </c>
      <c r="H41" s="9">
        <v>45911</v>
      </c>
      <c r="I41" s="2">
        <v>3</v>
      </c>
      <c r="J41" s="2" t="str" cm="1">
        <f t="array" ref="J41">_xlfn.SWITCH(E41,"F01","500","F02","100","F03","700","F04","300","F05","500","F06","350","F07","400")</f>
        <v>700</v>
      </c>
      <c r="K41" s="2">
        <f t="shared" si="1"/>
        <v>2100</v>
      </c>
    </row>
    <row r="42" spans="1:11" x14ac:dyDescent="0.3">
      <c r="A42" s="2">
        <v>39</v>
      </c>
      <c r="B42" s="2" t="s">
        <v>241</v>
      </c>
      <c r="C42" s="2" t="str">
        <f>'Room Details'!B42</f>
        <v>B039</v>
      </c>
      <c r="D42" s="2" t="str">
        <f>'Room Details'!C42</f>
        <v>R140</v>
      </c>
      <c r="E42" s="2" t="s">
        <v>255</v>
      </c>
      <c r="F42" s="2" t="s">
        <v>260</v>
      </c>
      <c r="G42" s="2" t="str" cm="1">
        <f t="array" ref="G42">_xlfn.SWITCH(E42,"F01","Biryani","F02","Puri","F03","Mutton Biryani","F04","Mutton Soup","F05","Veg Biryani","F06","Panner Biryani","F07","Mushroom Biryani")</f>
        <v>Mutton Soup</v>
      </c>
      <c r="H42" s="9">
        <v>45873</v>
      </c>
      <c r="I42" s="2">
        <v>1</v>
      </c>
      <c r="J42" s="2" t="str" cm="1">
        <f t="array" ref="J42">_xlfn.SWITCH(E42,"F01","500","F02","100","F03","700","F04","300","F05","500","F06","350","F07","400")</f>
        <v>300</v>
      </c>
      <c r="K42" s="2">
        <f t="shared" si="1"/>
        <v>300</v>
      </c>
    </row>
    <row r="43" spans="1:11" x14ac:dyDescent="0.3">
      <c r="A43" s="2">
        <v>40</v>
      </c>
      <c r="B43" s="2" t="s">
        <v>242</v>
      </c>
      <c r="C43" s="2" t="str">
        <f>'Room Details'!B43</f>
        <v>B040</v>
      </c>
      <c r="D43" s="2" t="str">
        <f>'Room Details'!C43</f>
        <v>R141</v>
      </c>
      <c r="E43" s="2" t="s">
        <v>252</v>
      </c>
      <c r="F43" s="2" t="s">
        <v>260</v>
      </c>
      <c r="G43" s="2" t="str" cm="1">
        <f t="array" ref="G43">_xlfn.SWITCH(E43,"F01","Biryani","F02","Puri","F03","Mutton Biryani","F04","Mutton Soup","F05","Veg Biryani","F06","Panner Biryani","F07","Mushroom Biryani")</f>
        <v>Biryani</v>
      </c>
      <c r="H43" s="9">
        <v>45816</v>
      </c>
      <c r="I43" s="2">
        <v>4</v>
      </c>
      <c r="J43" s="2" t="str" cm="1">
        <f t="array" ref="J43">_xlfn.SWITCH(E43,"F01","500","F02","100","F03","700","F04","300","F05","500","F06","350","F07","400")</f>
        <v>500</v>
      </c>
      <c r="K43" s="2">
        <f t="shared" si="1"/>
        <v>2000</v>
      </c>
    </row>
    <row r="44" spans="1:11" x14ac:dyDescent="0.3">
      <c r="A44" s="2">
        <v>41</v>
      </c>
      <c r="B44" s="2" t="s">
        <v>243</v>
      </c>
      <c r="C44" s="2" t="str">
        <f>'Room Details'!B44</f>
        <v>B041</v>
      </c>
      <c r="D44" s="2" t="str">
        <f>'Room Details'!C44</f>
        <v>R142</v>
      </c>
      <c r="E44" s="2" t="s">
        <v>252</v>
      </c>
      <c r="F44" s="2" t="s">
        <v>260</v>
      </c>
      <c r="G44" s="2" t="str" cm="1">
        <f t="array" ref="G44">_xlfn.SWITCH(E44,"F01","Biryani","F02","Puri","F03","Mutton Biryani","F04","Mutton Soup","F05","Veg Biryani","F06","Panner Biryani","F07","Mushroom Biryani")</f>
        <v>Biryani</v>
      </c>
      <c r="H44" s="9">
        <v>45728</v>
      </c>
      <c r="I44" s="2">
        <v>2</v>
      </c>
      <c r="J44" s="2" t="str" cm="1">
        <f t="array" ref="J44">_xlfn.SWITCH(E44,"F01","500","F02","100","F03","700","F04","300","F05","500","F06","350","F07","400")</f>
        <v>500</v>
      </c>
      <c r="K44" s="2">
        <f t="shared" si="1"/>
        <v>1000</v>
      </c>
    </row>
    <row r="45" spans="1:11" x14ac:dyDescent="0.3">
      <c r="A45" s="2">
        <v>42</v>
      </c>
      <c r="B45" s="2" t="s">
        <v>244</v>
      </c>
      <c r="C45" s="2" t="str">
        <f>'Room Details'!B45</f>
        <v>B042</v>
      </c>
      <c r="D45" s="2" t="str">
        <f>'Room Details'!C45</f>
        <v>R143</v>
      </c>
      <c r="E45" s="2" t="s">
        <v>258</v>
      </c>
      <c r="F45" s="2" t="s">
        <v>263</v>
      </c>
      <c r="G45" s="2" t="str" cm="1">
        <f t="array" ref="G45">_xlfn.SWITCH(E45,"F01","Biryani","F02","Puri","F03","Mutton Biryani","F04","Mutton Soup","F05","Veg Biryani","F06","Panner Biryani","F07","Mushroom Biryani")</f>
        <v>Mushroom Biryani</v>
      </c>
      <c r="H45" s="9">
        <v>45699</v>
      </c>
      <c r="I45" s="2">
        <v>4</v>
      </c>
      <c r="J45" s="2" t="str" cm="1">
        <f t="array" ref="J45">_xlfn.SWITCH(E45,"F01","500","F02","100","F03","700","F04","300","F05","500","F06","350","F07","400")</f>
        <v>400</v>
      </c>
      <c r="K45" s="2">
        <f t="shared" si="1"/>
        <v>1600</v>
      </c>
    </row>
    <row r="46" spans="1:11" x14ac:dyDescent="0.3">
      <c r="A46" s="2">
        <v>43</v>
      </c>
      <c r="B46" s="2" t="s">
        <v>245</v>
      </c>
      <c r="C46" s="2" t="str">
        <f>'Room Details'!B46</f>
        <v>B043</v>
      </c>
      <c r="D46" s="2" t="str">
        <f>'Room Details'!C46</f>
        <v>R144</v>
      </c>
      <c r="E46" s="2" t="s">
        <v>252</v>
      </c>
      <c r="F46" s="2" t="s">
        <v>260</v>
      </c>
      <c r="G46" s="2" t="str" cm="1">
        <f t="array" ref="G46">_xlfn.SWITCH(E46,"F01","Biryani","F02","Puri","F03","Mutton Biryani","F04","Mutton Soup","F05","Veg Biryani","F06","Panner Biryani","F07","Mushroom Biryani")</f>
        <v>Biryani</v>
      </c>
      <c r="H46" s="9">
        <v>45882</v>
      </c>
      <c r="I46" s="2">
        <v>2</v>
      </c>
      <c r="J46" s="2" t="str" cm="1">
        <f t="array" ref="J46">_xlfn.SWITCH(E46,"F01","500","F02","100","F03","700","F04","300","F05","500","F06","350","F07","400")</f>
        <v>500</v>
      </c>
      <c r="K46" s="2">
        <f t="shared" si="1"/>
        <v>1000</v>
      </c>
    </row>
    <row r="47" spans="1:11" x14ac:dyDescent="0.3">
      <c r="A47" s="2">
        <v>44</v>
      </c>
      <c r="B47" s="2" t="s">
        <v>246</v>
      </c>
      <c r="C47" s="2" t="str">
        <f>'Room Details'!B47</f>
        <v>B044</v>
      </c>
      <c r="D47" s="2" t="str">
        <f>'Room Details'!C47</f>
        <v>R145</v>
      </c>
      <c r="E47" s="2" t="s">
        <v>253</v>
      </c>
      <c r="F47" s="2" t="s">
        <v>263</v>
      </c>
      <c r="G47" s="2" t="str" cm="1">
        <f t="array" ref="G47">_xlfn.SWITCH(E47,"F01","Biryani","F02","Puri","F03","Mutton Biryani","F04","Mutton Soup","F05","Veg Biryani","F06","Panner Biryani","F07","Mushroom Biryani")</f>
        <v>Puri</v>
      </c>
      <c r="H47" s="9">
        <v>45727</v>
      </c>
      <c r="I47" s="2">
        <v>3</v>
      </c>
      <c r="J47" s="2" t="str" cm="1">
        <f t="array" ref="J47">_xlfn.SWITCH(E47,"F01","500","F02","100","F03","700","F04","300","F05","500","F06","350","F07","400")</f>
        <v>100</v>
      </c>
      <c r="K47" s="2">
        <f t="shared" si="1"/>
        <v>300</v>
      </c>
    </row>
    <row r="48" spans="1:11" x14ac:dyDescent="0.3">
      <c r="A48" s="2">
        <v>45</v>
      </c>
      <c r="B48" s="2" t="s">
        <v>206</v>
      </c>
      <c r="C48" s="2" t="str">
        <f>'Room Details'!B48</f>
        <v>B045</v>
      </c>
      <c r="D48" s="2" t="str">
        <f>'Room Details'!C48</f>
        <v>R146</v>
      </c>
      <c r="E48" s="2" t="s">
        <v>254</v>
      </c>
      <c r="F48" s="2" t="s">
        <v>260</v>
      </c>
      <c r="G48" s="2" t="str" cm="1">
        <f t="array" ref="G48">_xlfn.SWITCH(E48,"F01","Biryani","F02","Puri","F03","Mutton Biryani","F04","Mutton Soup","F05","Veg Biryani","F06","Panner Biryani","F07","Mushroom Biryani")</f>
        <v>Mutton Biryani</v>
      </c>
      <c r="H48" s="9">
        <v>46003</v>
      </c>
      <c r="I48" s="2">
        <v>1</v>
      </c>
      <c r="J48" s="2" t="str" cm="1">
        <f t="array" ref="J48">_xlfn.SWITCH(E48,"F01","500","F02","100","F03","700","F04","300","F05","500","F06","350","F07","400")</f>
        <v>700</v>
      </c>
      <c r="K48" s="2">
        <f t="shared" si="1"/>
        <v>700</v>
      </c>
    </row>
    <row r="49" spans="1:11" x14ac:dyDescent="0.3">
      <c r="A49" s="2">
        <v>46</v>
      </c>
      <c r="B49" s="2" t="s">
        <v>247</v>
      </c>
      <c r="C49" s="2" t="str">
        <f>'Room Details'!B49</f>
        <v>B046</v>
      </c>
      <c r="D49" s="2" t="str">
        <f>'Room Details'!C49</f>
        <v>R147</v>
      </c>
      <c r="E49" s="2" t="s">
        <v>255</v>
      </c>
      <c r="F49" s="2" t="s">
        <v>260</v>
      </c>
      <c r="G49" s="2" t="str" cm="1">
        <f t="array" ref="G49">_xlfn.SWITCH(E49,"F01","Biryani","F02","Puri","F03","Mutton Biryani","F04","Mutton Soup","F05","Veg Biryani","F06","Panner Biryani","F07","Mushroom Biryani")</f>
        <v>Mutton Soup</v>
      </c>
      <c r="H49" s="9">
        <v>45748</v>
      </c>
      <c r="I49" s="2">
        <v>3</v>
      </c>
      <c r="J49" s="2" t="str" cm="1">
        <f t="array" ref="J49">_xlfn.SWITCH(E49,"F01","500","F02","100","F03","700","F04","300","F05","500","F06","350","F07","400")</f>
        <v>300</v>
      </c>
      <c r="K49" s="2">
        <f t="shared" si="1"/>
        <v>900</v>
      </c>
    </row>
    <row r="50" spans="1:11" x14ac:dyDescent="0.3">
      <c r="A50" s="2">
        <v>47</v>
      </c>
      <c r="B50" s="2" t="s">
        <v>248</v>
      </c>
      <c r="C50" s="2" t="str">
        <f>'Room Details'!B50</f>
        <v>B047</v>
      </c>
      <c r="D50" s="2" t="str">
        <f>'Room Details'!C50</f>
        <v>R148</v>
      </c>
      <c r="E50" s="2" t="s">
        <v>256</v>
      </c>
      <c r="F50" s="2" t="s">
        <v>263</v>
      </c>
      <c r="G50" s="2" t="str" cm="1">
        <f t="array" ref="G50">_xlfn.SWITCH(E50,"F01","Biryani","F02","Puri","F03","Mutton Biryani","F04","Mutton Soup","F05","Veg Biryani","F06","Panner Biryani","F07","Mushroom Biryani")</f>
        <v>Veg Biryani</v>
      </c>
      <c r="H50" s="9">
        <v>45788</v>
      </c>
      <c r="I50" s="2">
        <v>4</v>
      </c>
      <c r="J50" s="2" t="str" cm="1">
        <f t="array" ref="J50">_xlfn.SWITCH(E50,"F01","500","F02","100","F03","700","F04","300","F05","500","F06","350","F07","400")</f>
        <v>500</v>
      </c>
      <c r="K50" s="2">
        <f t="shared" si="1"/>
        <v>2000</v>
      </c>
    </row>
    <row r="51" spans="1:11" x14ac:dyDescent="0.3">
      <c r="A51" s="2">
        <v>48</v>
      </c>
      <c r="B51" s="2" t="s">
        <v>249</v>
      </c>
      <c r="C51" s="2" t="str">
        <f>'Room Details'!B51</f>
        <v>B048</v>
      </c>
      <c r="D51" s="2" t="str">
        <f>'Room Details'!C51</f>
        <v>R149</v>
      </c>
      <c r="E51" s="2" t="s">
        <v>257</v>
      </c>
      <c r="F51" s="2" t="s">
        <v>263</v>
      </c>
      <c r="G51" s="2" t="str" cm="1">
        <f t="array" ref="G51">_xlfn.SWITCH(E51,"F01","Biryani","F02","Puri","F03","Mutton Biryani","F04","Mutton Soup","F05","Veg Biryani","F06","Panner Biryani","F07","Mushroom Biryani")</f>
        <v>Panner Biryani</v>
      </c>
      <c r="H51" s="9">
        <v>45911</v>
      </c>
      <c r="I51" s="2">
        <v>2</v>
      </c>
      <c r="J51" s="2" t="str" cm="1">
        <f t="array" ref="J51">_xlfn.SWITCH(E51,"F01","500","F02","100","F03","700","F04","300","F05","500","F06","350","F07","400")</f>
        <v>350</v>
      </c>
      <c r="K51" s="2">
        <f t="shared" si="1"/>
        <v>700</v>
      </c>
    </row>
    <row r="52" spans="1:11" x14ac:dyDescent="0.3">
      <c r="A52" s="2">
        <v>49</v>
      </c>
      <c r="B52" s="2" t="s">
        <v>250</v>
      </c>
      <c r="C52" s="2" t="str">
        <f>'Room Details'!B52</f>
        <v>B049</v>
      </c>
      <c r="D52" s="2" t="str">
        <f>'Room Details'!C52</f>
        <v>R150</v>
      </c>
      <c r="E52" s="2" t="s">
        <v>252</v>
      </c>
      <c r="F52" s="2" t="s">
        <v>260</v>
      </c>
      <c r="G52" s="2" t="str" cm="1">
        <f t="array" ref="G52">_xlfn.SWITCH(E52,"F01","Biryani","F02","Puri","F03","Mutton Biryani","F04","Mutton Soup","F05","Veg Biryani","F06","Panner Biryani","F07","Mushroom Biryani")</f>
        <v>Biryani</v>
      </c>
      <c r="H52" s="9">
        <v>45873</v>
      </c>
      <c r="I52" s="2">
        <v>1</v>
      </c>
      <c r="J52" s="2" t="str" cm="1">
        <f t="array" ref="J52">_xlfn.SWITCH(E52,"F01","500","F02","100","F03","700","F04","300","F05","500","F06","350","F07","400")</f>
        <v>500</v>
      </c>
      <c r="K52" s="2">
        <f t="shared" si="1"/>
        <v>500</v>
      </c>
    </row>
    <row r="53" spans="1:11" x14ac:dyDescent="0.3">
      <c r="A53" s="2">
        <v>50</v>
      </c>
      <c r="B53" s="2" t="s">
        <v>251</v>
      </c>
      <c r="C53" s="2" t="str">
        <f>'Room Details'!B53</f>
        <v>B050</v>
      </c>
      <c r="D53" s="2" t="str">
        <f>'Room Details'!C53</f>
        <v>R151</v>
      </c>
      <c r="E53" s="2" t="s">
        <v>252</v>
      </c>
      <c r="F53" s="2" t="s">
        <v>260</v>
      </c>
      <c r="G53" s="2" t="str" cm="1">
        <f t="array" ref="G53">_xlfn.SWITCH(E53,"F01","Biryani","F02","Puri","F03","Mutton Biryani","F04","Mutton Soup","F05","Veg Biryani","F06","Panner Biryani","F07","Mushroom Biryani")</f>
        <v>Biryani</v>
      </c>
      <c r="H53" s="9">
        <v>45816</v>
      </c>
      <c r="I53" s="2">
        <v>2</v>
      </c>
      <c r="J53" s="2" t="str" cm="1">
        <f t="array" ref="J53">_xlfn.SWITCH(E53,"F01","500","F02","100","F03","700","F04","300","F05","500","F06","350","F07","400")</f>
        <v>500</v>
      </c>
      <c r="K53" s="2">
        <f t="shared" si="1"/>
        <v>1000</v>
      </c>
    </row>
    <row r="54" spans="1:11" x14ac:dyDescent="0.3">
      <c r="J54" s="1"/>
      <c r="K54" s="1"/>
    </row>
  </sheetData>
  <mergeCells count="2">
    <mergeCell ref="B1:X1"/>
    <mergeCell ref="B2:K2"/>
  </mergeCells>
  <phoneticPr fontId="5" type="noConversion"/>
  <conditionalFormatting sqref="F4:G53">
    <cfRule type="containsText" dxfId="10" priority="5" operator="containsText" text="Non-veg">
      <formula>NOT(ISERROR(SEARCH("Non-veg",F4)))</formula>
    </cfRule>
  </conditionalFormatting>
  <dataValidations count="1">
    <dataValidation type="list" allowBlank="1" showInputMessage="1" showErrorMessage="1" sqref="F4:F53" xr:uid="{74A0DCEE-41B8-42BF-ADFB-EFFEA541E323}">
      <formula1>"Veg,Non-Veg"</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2BF4-08B9-41FD-B8E3-C4598D7BFABC}">
  <sheetPr>
    <tabColor theme="9" tint="-0.499984740745262"/>
  </sheetPr>
  <dimension ref="A2:AD52"/>
  <sheetViews>
    <sheetView showGridLines="0" topLeftCell="A10" workbookViewId="0">
      <selection activeCell="U19" sqref="U19"/>
    </sheetView>
  </sheetViews>
  <sheetFormatPr defaultRowHeight="14.4" x14ac:dyDescent="0.3"/>
  <cols>
    <col min="1" max="1" width="20.109375" bestFit="1" customWidth="1"/>
    <col min="2" max="2" width="14.21875" bestFit="1" customWidth="1"/>
    <col min="3" max="3" width="18.109375" bestFit="1" customWidth="1"/>
    <col min="23" max="23" width="11.6640625" bestFit="1" customWidth="1"/>
    <col min="24" max="24" width="13.77734375" bestFit="1" customWidth="1"/>
    <col min="25" max="25" width="15.44140625" bestFit="1" customWidth="1"/>
    <col min="26" max="26" width="14.44140625" bestFit="1" customWidth="1"/>
    <col min="27" max="27" width="12.5546875" bestFit="1" customWidth="1"/>
    <col min="28" max="28" width="9.77734375" bestFit="1" customWidth="1"/>
    <col min="29" max="29" width="16.33203125" bestFit="1" customWidth="1"/>
    <col min="30" max="30" width="14.44140625" bestFit="1" customWidth="1"/>
  </cols>
  <sheetData>
    <row r="2" spans="1:30" x14ac:dyDescent="0.3">
      <c r="W2" s="22" t="s">
        <v>32</v>
      </c>
      <c r="X2" s="23" t="s">
        <v>259</v>
      </c>
      <c r="Y2" s="23" t="s">
        <v>33</v>
      </c>
      <c r="Z2" s="23" t="s">
        <v>261</v>
      </c>
      <c r="AA2" s="23" t="s">
        <v>34</v>
      </c>
      <c r="AB2" s="23" t="s">
        <v>35</v>
      </c>
      <c r="AC2" s="23" t="s">
        <v>36</v>
      </c>
      <c r="AD2" s="24" t="s">
        <v>37</v>
      </c>
    </row>
    <row r="3" spans="1:30" x14ac:dyDescent="0.3">
      <c r="A3" s="14" t="s">
        <v>371</v>
      </c>
      <c r="B3" t="s">
        <v>393</v>
      </c>
      <c r="C3" t="s">
        <v>395</v>
      </c>
      <c r="W3" s="29" t="s">
        <v>252</v>
      </c>
      <c r="X3" s="2" t="s">
        <v>260</v>
      </c>
      <c r="Y3" s="2" t="str" cm="1">
        <f t="array" ref="Y3">_xlfn.SWITCH(W3,"F01","Biryani","F02","Puri","F03","Mutton Biryani","F04","Mutton Soup","F05","Veg Biryani","F06","Panner Biryani","F07","Mushroom Biryani")</f>
        <v>Biryani</v>
      </c>
      <c r="Z3" s="2" t="s">
        <v>262</v>
      </c>
      <c r="AA3" s="2">
        <v>1</v>
      </c>
      <c r="AB3" s="2" t="str" cm="1">
        <f t="array" ref="AB3">_xlfn.SWITCH(Z3,"DINE-IN","2000","TAKEAWAY","1000")</f>
        <v>2000</v>
      </c>
      <c r="AC3" s="2">
        <f>AA3*AB3</f>
        <v>2000</v>
      </c>
      <c r="AD3" s="30">
        <v>45728</v>
      </c>
    </row>
    <row r="4" spans="1:30" x14ac:dyDescent="0.3">
      <c r="A4" s="15" t="s">
        <v>252</v>
      </c>
      <c r="B4">
        <v>20</v>
      </c>
      <c r="C4">
        <v>34000</v>
      </c>
      <c r="W4" s="29" t="s">
        <v>253</v>
      </c>
      <c r="X4" s="2" t="s">
        <v>263</v>
      </c>
      <c r="Y4" s="2" t="str" cm="1">
        <f t="array" ref="Y4">_xlfn.SWITCH(W4,"F01","Biryani","F02","Puri","F03","Mutton Biryani","F04","Mutton Soup","F05","Veg Biryani","F06","Panner Biryani","F07","Mushroom Biryani")</f>
        <v>Puri</v>
      </c>
      <c r="Z4" s="2" t="s">
        <v>264</v>
      </c>
      <c r="AA4" s="2">
        <v>2</v>
      </c>
      <c r="AB4" s="2" t="str" cm="1">
        <f t="array" ref="AB4">_xlfn.SWITCH(Z4,"DINE-IN","2000","TAKEAWAY","1000")</f>
        <v>1000</v>
      </c>
      <c r="AC4" s="2">
        <f t="shared" ref="AC4:AC52" si="0">AA4*AB4</f>
        <v>2000</v>
      </c>
      <c r="AD4" s="30">
        <v>45699</v>
      </c>
    </row>
    <row r="5" spans="1:30" x14ac:dyDescent="0.3">
      <c r="A5" s="16" t="s">
        <v>260</v>
      </c>
      <c r="B5">
        <v>20</v>
      </c>
      <c r="C5">
        <v>34000</v>
      </c>
      <c r="W5" s="29" t="s">
        <v>254</v>
      </c>
      <c r="X5" s="2" t="s">
        <v>260</v>
      </c>
      <c r="Y5" s="2" t="str" cm="1">
        <f t="array" ref="Y5">_xlfn.SWITCH(W5,"F01","Biryani","F02","Puri","F03","Mutton Biryani","F04","Mutton Soup","F05","Veg Biryani","F06","Panner Biryani","F07","Mushroom Biryani")</f>
        <v>Mutton Biryani</v>
      </c>
      <c r="Z5" s="2" t="s">
        <v>262</v>
      </c>
      <c r="AA5" s="2">
        <v>2</v>
      </c>
      <c r="AB5" s="2" t="str" cm="1">
        <f t="array" ref="AB5">_xlfn.SWITCH(Z5,"DINE-IN","2000","TAKEAWAY","1000")</f>
        <v>2000</v>
      </c>
      <c r="AC5" s="2">
        <f t="shared" si="0"/>
        <v>4000</v>
      </c>
      <c r="AD5" s="30">
        <v>45882</v>
      </c>
    </row>
    <row r="6" spans="1:30" x14ac:dyDescent="0.3">
      <c r="A6" s="17" t="s">
        <v>386</v>
      </c>
      <c r="B6">
        <v>20</v>
      </c>
      <c r="C6">
        <v>34000</v>
      </c>
      <c r="W6" s="29" t="s">
        <v>255</v>
      </c>
      <c r="X6" s="2" t="s">
        <v>260</v>
      </c>
      <c r="Y6" s="2" t="str" cm="1">
        <f t="array" ref="Y6">_xlfn.SWITCH(W6,"F01","Biryani","F02","Puri","F03","Mutton Biryani","F04","Mutton Soup","F05","Veg Biryani","F06","Panner Biryani","F07","Mushroom Biryani")</f>
        <v>Mutton Soup</v>
      </c>
      <c r="Z6" s="2" t="s">
        <v>262</v>
      </c>
      <c r="AA6" s="2">
        <v>3</v>
      </c>
      <c r="AB6" s="2" t="str" cm="1">
        <f t="array" ref="AB6">_xlfn.SWITCH(Z6,"DINE-IN","2000","TAKEAWAY","1000")</f>
        <v>2000</v>
      </c>
      <c r="AC6" s="2">
        <f t="shared" si="0"/>
        <v>6000</v>
      </c>
      <c r="AD6" s="30">
        <v>45727</v>
      </c>
    </row>
    <row r="7" spans="1:30" x14ac:dyDescent="0.3">
      <c r="A7" s="18" t="s">
        <v>394</v>
      </c>
      <c r="B7">
        <v>6</v>
      </c>
      <c r="C7">
        <v>6000</v>
      </c>
      <c r="W7" s="29" t="s">
        <v>256</v>
      </c>
      <c r="X7" s="2" t="s">
        <v>263</v>
      </c>
      <c r="Y7" s="2" t="str" cm="1">
        <f t="array" ref="Y7">_xlfn.SWITCH(W7,"F01","Biryani","F02","Puri","F03","Mutton Biryani","F04","Mutton Soup","F05","Veg Biryani","F06","Panner Biryani","F07","Mushroom Biryani")</f>
        <v>Veg Biryani</v>
      </c>
      <c r="Z7" s="2" t="s">
        <v>264</v>
      </c>
      <c r="AA7" s="2">
        <v>1</v>
      </c>
      <c r="AB7" s="2" t="str" cm="1">
        <f t="array" ref="AB7">_xlfn.SWITCH(Z7,"DINE-IN","2000","TAKEAWAY","1000")</f>
        <v>1000</v>
      </c>
      <c r="AC7" s="2">
        <f t="shared" si="0"/>
        <v>1000</v>
      </c>
      <c r="AD7" s="30">
        <v>46003</v>
      </c>
    </row>
    <row r="8" spans="1:30" x14ac:dyDescent="0.3">
      <c r="A8" s="19" t="s">
        <v>264</v>
      </c>
      <c r="B8">
        <v>6</v>
      </c>
      <c r="C8">
        <v>6000</v>
      </c>
      <c r="W8" s="29" t="s">
        <v>257</v>
      </c>
      <c r="X8" s="2" t="s">
        <v>263</v>
      </c>
      <c r="Y8" s="2" t="str" cm="1">
        <f t="array" ref="Y8">_xlfn.SWITCH(W8,"F01","Biryani","F02","Puri","F03","Mutton Biryani","F04","Mutton Soup","F05","Veg Biryani","F06","Panner Biryani","F07","Mushroom Biryani")</f>
        <v>Panner Biryani</v>
      </c>
      <c r="Z8" s="2" t="s">
        <v>262</v>
      </c>
      <c r="AA8" s="2">
        <v>2</v>
      </c>
      <c r="AB8" s="2" t="str" cm="1">
        <f t="array" ref="AB8">_xlfn.SWITCH(Z8,"DINE-IN","2000","TAKEAWAY","1000")</f>
        <v>2000</v>
      </c>
      <c r="AC8" s="2">
        <f t="shared" si="0"/>
        <v>4000</v>
      </c>
      <c r="AD8" s="30">
        <v>45748</v>
      </c>
    </row>
    <row r="9" spans="1:30" x14ac:dyDescent="0.3">
      <c r="A9" s="18" t="s">
        <v>375</v>
      </c>
      <c r="B9">
        <v>14</v>
      </c>
      <c r="C9">
        <v>28000</v>
      </c>
      <c r="W9" s="29" t="s">
        <v>258</v>
      </c>
      <c r="X9" s="2" t="s">
        <v>263</v>
      </c>
      <c r="Y9" s="2" t="str" cm="1">
        <f t="array" ref="Y9">_xlfn.SWITCH(W9,"F01","Biryani","F02","Puri","F03","Mutton Biryani","F04","Mutton Soup","F05","Veg Biryani","F06","Panner Biryani","F07","Mushroom Biryani")</f>
        <v>Mushroom Biryani</v>
      </c>
      <c r="Z9" s="2" t="s">
        <v>264</v>
      </c>
      <c r="AA9" s="2">
        <v>2</v>
      </c>
      <c r="AB9" s="2" t="str" cm="1">
        <f t="array" ref="AB9">_xlfn.SWITCH(Z9,"DINE-IN","2000","TAKEAWAY","1000")</f>
        <v>1000</v>
      </c>
      <c r="AC9" s="2">
        <f t="shared" si="0"/>
        <v>2000</v>
      </c>
      <c r="AD9" s="30">
        <v>45788</v>
      </c>
    </row>
    <row r="10" spans="1:30" x14ac:dyDescent="0.3">
      <c r="A10" s="19" t="s">
        <v>262</v>
      </c>
      <c r="B10">
        <v>14</v>
      </c>
      <c r="C10">
        <v>28000</v>
      </c>
      <c r="W10" s="29" t="s">
        <v>254</v>
      </c>
      <c r="X10" s="2" t="s">
        <v>260</v>
      </c>
      <c r="Y10" s="2" t="str" cm="1">
        <f t="array" ref="Y10">_xlfn.SWITCH(W10,"F01","Biryani","F02","Puri","F03","Mutton Biryani","F04","Mutton Soup","F05","Veg Biryani","F06","Panner Biryani","F07","Mushroom Biryani")</f>
        <v>Mutton Biryani</v>
      </c>
      <c r="Z10" s="2" t="s">
        <v>264</v>
      </c>
      <c r="AA10" s="2">
        <v>4</v>
      </c>
      <c r="AB10" s="2" t="str" cm="1">
        <f t="array" ref="AB10">_xlfn.SWITCH(Z10,"DINE-IN","2000","TAKEAWAY","1000")</f>
        <v>1000</v>
      </c>
      <c r="AC10" s="2">
        <f t="shared" si="0"/>
        <v>4000</v>
      </c>
      <c r="AD10" s="30">
        <v>45911</v>
      </c>
    </row>
    <row r="11" spans="1:30" x14ac:dyDescent="0.3">
      <c r="A11" s="15" t="s">
        <v>253</v>
      </c>
      <c r="B11">
        <v>10</v>
      </c>
      <c r="C11">
        <v>18000</v>
      </c>
      <c r="W11" s="29" t="s">
        <v>255</v>
      </c>
      <c r="X11" s="2" t="s">
        <v>260</v>
      </c>
      <c r="Y11" s="2" t="str" cm="1">
        <f t="array" ref="Y11">_xlfn.SWITCH(W11,"F01","Biryani","F02","Puri","F03","Mutton Biryani","F04","Mutton Soup","F05","Veg Biryani","F06","Panner Biryani","F07","Mushroom Biryani")</f>
        <v>Mutton Soup</v>
      </c>
      <c r="Z11" s="2" t="s">
        <v>262</v>
      </c>
      <c r="AA11" s="2">
        <v>2</v>
      </c>
      <c r="AB11" s="2" t="str" cm="1">
        <f t="array" ref="AB11">_xlfn.SWITCH(Z11,"DINE-IN","2000","TAKEAWAY","1000")</f>
        <v>2000</v>
      </c>
      <c r="AC11" s="2">
        <f t="shared" si="0"/>
        <v>4000</v>
      </c>
      <c r="AD11" s="30">
        <v>45873</v>
      </c>
    </row>
    <row r="12" spans="1:30" x14ac:dyDescent="0.3">
      <c r="A12" s="16" t="s">
        <v>263</v>
      </c>
      <c r="B12">
        <v>10</v>
      </c>
      <c r="C12">
        <v>18000</v>
      </c>
      <c r="W12" s="29" t="s">
        <v>256</v>
      </c>
      <c r="X12" s="2" t="s">
        <v>263</v>
      </c>
      <c r="Y12" s="2" t="str" cm="1">
        <f t="array" ref="Y12">_xlfn.SWITCH(W12,"F01","Biryani","F02","Puri","F03","Mutton Biryani","F04","Mutton Soup","F05","Veg Biryani","F06","Panner Biryani","F07","Mushroom Biryani")</f>
        <v>Veg Biryani</v>
      </c>
      <c r="Z12" s="2" t="s">
        <v>264</v>
      </c>
      <c r="AA12" s="2">
        <v>1</v>
      </c>
      <c r="AB12" s="2" t="str" cm="1">
        <f t="array" ref="AB12">_xlfn.SWITCH(Z12,"DINE-IN","2000","TAKEAWAY","1000")</f>
        <v>1000</v>
      </c>
      <c r="AC12" s="2">
        <f t="shared" si="0"/>
        <v>1000</v>
      </c>
      <c r="AD12" s="30">
        <v>45816</v>
      </c>
    </row>
    <row r="13" spans="1:30" x14ac:dyDescent="0.3">
      <c r="A13" s="17" t="s">
        <v>387</v>
      </c>
      <c r="B13">
        <v>10</v>
      </c>
      <c r="C13">
        <v>18000</v>
      </c>
      <c r="W13" s="29" t="s">
        <v>257</v>
      </c>
      <c r="X13" s="2" t="s">
        <v>263</v>
      </c>
      <c r="Y13" s="2" t="str" cm="1">
        <f t="array" ref="Y13">_xlfn.SWITCH(W13,"F01","Biryani","F02","Puri","F03","Mutton Biryani","F04","Mutton Soup","F05","Veg Biryani","F06","Panner Biryani","F07","Mushroom Biryani")</f>
        <v>Panner Biryani</v>
      </c>
      <c r="Z13" s="2" t="s">
        <v>262</v>
      </c>
      <c r="AA13" s="2">
        <v>2</v>
      </c>
      <c r="AB13" s="2" t="str" cm="1">
        <f t="array" ref="AB13">_xlfn.SWITCH(Z13,"DINE-IN","2000","TAKEAWAY","1000")</f>
        <v>2000</v>
      </c>
      <c r="AC13" s="2">
        <f t="shared" si="0"/>
        <v>4000</v>
      </c>
      <c r="AD13" s="30">
        <v>45728</v>
      </c>
    </row>
    <row r="14" spans="1:30" x14ac:dyDescent="0.3">
      <c r="A14" s="18" t="s">
        <v>394</v>
      </c>
      <c r="B14">
        <v>2</v>
      </c>
      <c r="C14">
        <v>2000</v>
      </c>
      <c r="W14" s="29" t="s">
        <v>258</v>
      </c>
      <c r="X14" s="2" t="s">
        <v>263</v>
      </c>
      <c r="Y14" s="2" t="str" cm="1">
        <f t="array" ref="Y14">_xlfn.SWITCH(W14,"F01","Biryani","F02","Puri","F03","Mutton Biryani","F04","Mutton Soup","F05","Veg Biryani","F06","Panner Biryani","F07","Mushroom Biryani")</f>
        <v>Mushroom Biryani</v>
      </c>
      <c r="Z14" s="2" t="s">
        <v>264</v>
      </c>
      <c r="AA14" s="2">
        <v>1</v>
      </c>
      <c r="AB14" s="2" t="str" cm="1">
        <f t="array" ref="AB14">_xlfn.SWITCH(Z14,"DINE-IN","2000","TAKEAWAY","1000")</f>
        <v>1000</v>
      </c>
      <c r="AC14" s="2">
        <f t="shared" si="0"/>
        <v>1000</v>
      </c>
      <c r="AD14" s="30">
        <v>45699</v>
      </c>
    </row>
    <row r="15" spans="1:30" x14ac:dyDescent="0.3">
      <c r="A15" s="19" t="s">
        <v>264</v>
      </c>
      <c r="B15">
        <v>2</v>
      </c>
      <c r="C15">
        <v>2000</v>
      </c>
      <c r="W15" s="29" t="s">
        <v>252</v>
      </c>
      <c r="X15" s="2" t="s">
        <v>260</v>
      </c>
      <c r="Y15" s="2" t="str" cm="1">
        <f t="array" ref="Y15">_xlfn.SWITCH(W15,"F01","Biryani","F02","Puri","F03","Mutton Biryani","F04","Mutton Soup","F05","Veg Biryani","F06","Panner Biryani","F07","Mushroom Biryani")</f>
        <v>Biryani</v>
      </c>
      <c r="Z15" s="2" t="s">
        <v>262</v>
      </c>
      <c r="AA15" s="2">
        <v>2</v>
      </c>
      <c r="AB15" s="2" t="str" cm="1">
        <f t="array" ref="AB15">_xlfn.SWITCH(Z15,"DINE-IN","2000","TAKEAWAY","1000")</f>
        <v>2000</v>
      </c>
      <c r="AC15" s="2">
        <f t="shared" si="0"/>
        <v>4000</v>
      </c>
      <c r="AD15" s="30">
        <v>45882</v>
      </c>
    </row>
    <row r="16" spans="1:30" x14ac:dyDescent="0.3">
      <c r="A16" s="18" t="s">
        <v>375</v>
      </c>
      <c r="B16">
        <v>8</v>
      </c>
      <c r="C16">
        <v>16000</v>
      </c>
      <c r="W16" s="29" t="s">
        <v>253</v>
      </c>
      <c r="X16" s="2" t="s">
        <v>263</v>
      </c>
      <c r="Y16" s="2" t="str" cm="1">
        <f t="array" ref="Y16">_xlfn.SWITCH(W16,"F01","Biryani","F02","Puri","F03","Mutton Biryani","F04","Mutton Soup","F05","Veg Biryani","F06","Panner Biryani","F07","Mushroom Biryani")</f>
        <v>Puri</v>
      </c>
      <c r="Z16" s="2" t="s">
        <v>262</v>
      </c>
      <c r="AA16" s="2">
        <v>1</v>
      </c>
      <c r="AB16" s="2" t="str" cm="1">
        <f t="array" ref="AB16">_xlfn.SWITCH(Z16,"DINE-IN","2000","TAKEAWAY","1000")</f>
        <v>2000</v>
      </c>
      <c r="AC16" s="2">
        <f t="shared" si="0"/>
        <v>2000</v>
      </c>
      <c r="AD16" s="30">
        <v>45727</v>
      </c>
    </row>
    <row r="17" spans="1:30" x14ac:dyDescent="0.3">
      <c r="A17" s="19" t="s">
        <v>262</v>
      </c>
      <c r="B17">
        <v>8</v>
      </c>
      <c r="C17">
        <v>16000</v>
      </c>
      <c r="W17" s="29" t="s">
        <v>254</v>
      </c>
      <c r="X17" s="2" t="s">
        <v>260</v>
      </c>
      <c r="Y17" s="2" t="str" cm="1">
        <f t="array" ref="Y17">_xlfn.SWITCH(W17,"F01","Biryani","F02","Puri","F03","Mutton Biryani","F04","Mutton Soup","F05","Veg Biryani","F06","Panner Biryani","F07","Mushroom Biryani")</f>
        <v>Mutton Biryani</v>
      </c>
      <c r="Z17" s="2" t="s">
        <v>264</v>
      </c>
      <c r="AA17" s="2">
        <v>2</v>
      </c>
      <c r="AB17" s="2" t="str" cm="1">
        <f t="array" ref="AB17">_xlfn.SWITCH(Z17,"DINE-IN","2000","TAKEAWAY","1000")</f>
        <v>1000</v>
      </c>
      <c r="AC17" s="2">
        <f t="shared" si="0"/>
        <v>2000</v>
      </c>
      <c r="AD17" s="30">
        <v>46003</v>
      </c>
    </row>
    <row r="18" spans="1:30" x14ac:dyDescent="0.3">
      <c r="A18" s="15" t="s">
        <v>254</v>
      </c>
      <c r="B18">
        <v>15</v>
      </c>
      <c r="C18">
        <v>17000</v>
      </c>
      <c r="W18" s="29" t="s">
        <v>255</v>
      </c>
      <c r="X18" s="2" t="s">
        <v>260</v>
      </c>
      <c r="Y18" s="2" t="str" cm="1">
        <f t="array" ref="Y18">_xlfn.SWITCH(W18,"F01","Biryani","F02","Puri","F03","Mutton Biryani","F04","Mutton Soup","F05","Veg Biryani","F06","Panner Biryani","F07","Mushroom Biryani")</f>
        <v>Mutton Soup</v>
      </c>
      <c r="Z18" s="2" t="s">
        <v>262</v>
      </c>
      <c r="AA18" s="2">
        <v>2</v>
      </c>
      <c r="AB18" s="2" t="str" cm="1">
        <f t="array" ref="AB18">_xlfn.SWITCH(Z18,"DINE-IN","2000","TAKEAWAY","1000")</f>
        <v>2000</v>
      </c>
      <c r="AC18" s="2">
        <f t="shared" si="0"/>
        <v>4000</v>
      </c>
      <c r="AD18" s="30">
        <v>45748</v>
      </c>
    </row>
    <row r="19" spans="1:30" x14ac:dyDescent="0.3">
      <c r="A19" s="16" t="s">
        <v>260</v>
      </c>
      <c r="B19">
        <v>15</v>
      </c>
      <c r="C19">
        <v>17000</v>
      </c>
      <c r="W19" s="29" t="s">
        <v>256</v>
      </c>
      <c r="X19" s="2" t="s">
        <v>263</v>
      </c>
      <c r="Y19" s="2" t="str" cm="1">
        <f t="array" ref="Y19">_xlfn.SWITCH(W19,"F01","Biryani","F02","Puri","F03","Mutton Biryani","F04","Mutton Soup","F05","Veg Biryani","F06","Panner Biryani","F07","Mushroom Biryani")</f>
        <v>Veg Biryani</v>
      </c>
      <c r="Z19" s="2" t="s">
        <v>264</v>
      </c>
      <c r="AA19" s="2">
        <v>3</v>
      </c>
      <c r="AB19" s="2" t="str" cm="1">
        <f t="array" ref="AB19">_xlfn.SWITCH(Z19,"DINE-IN","2000","TAKEAWAY","1000")</f>
        <v>1000</v>
      </c>
      <c r="AC19" s="2">
        <f t="shared" si="0"/>
        <v>3000</v>
      </c>
      <c r="AD19" s="30">
        <v>45788</v>
      </c>
    </row>
    <row r="20" spans="1:30" x14ac:dyDescent="0.3">
      <c r="A20" s="17" t="s">
        <v>388</v>
      </c>
      <c r="B20">
        <v>15</v>
      </c>
      <c r="C20">
        <v>17000</v>
      </c>
      <c r="W20" s="29" t="s">
        <v>257</v>
      </c>
      <c r="X20" s="2" t="s">
        <v>263</v>
      </c>
      <c r="Y20" s="2" t="str" cm="1">
        <f t="array" ref="Y20">_xlfn.SWITCH(W20,"F01","Biryani","F02","Puri","F03","Mutton Biryani","F04","Mutton Soup","F05","Veg Biryani","F06","Panner Biryani","F07","Mushroom Biryani")</f>
        <v>Panner Biryani</v>
      </c>
      <c r="Z20" s="2" t="s">
        <v>264</v>
      </c>
      <c r="AA20" s="2">
        <v>1</v>
      </c>
      <c r="AB20" s="2" t="str" cm="1">
        <f t="array" ref="AB20">_xlfn.SWITCH(Z20,"DINE-IN","2000","TAKEAWAY","1000")</f>
        <v>1000</v>
      </c>
      <c r="AC20" s="2">
        <f t="shared" si="0"/>
        <v>1000</v>
      </c>
      <c r="AD20" s="30">
        <v>45911</v>
      </c>
    </row>
    <row r="21" spans="1:30" x14ac:dyDescent="0.3">
      <c r="A21" s="18" t="s">
        <v>394</v>
      </c>
      <c r="B21">
        <v>13</v>
      </c>
      <c r="C21">
        <v>13000</v>
      </c>
      <c r="W21" s="29" t="s">
        <v>258</v>
      </c>
      <c r="X21" s="2" t="s">
        <v>263</v>
      </c>
      <c r="Y21" s="2" t="str" cm="1">
        <f t="array" ref="Y21">_xlfn.SWITCH(W21,"F01","Biryani","F02","Puri","F03","Mutton Biryani","F04","Mutton Soup","F05","Veg Biryani","F06","Panner Biryani","F07","Mushroom Biryani")</f>
        <v>Mushroom Biryani</v>
      </c>
      <c r="Z21" s="2" t="s">
        <v>262</v>
      </c>
      <c r="AA21" s="2">
        <v>2</v>
      </c>
      <c r="AB21" s="2" t="str" cm="1">
        <f t="array" ref="AB21">_xlfn.SWITCH(Z21,"DINE-IN","2000","TAKEAWAY","1000")</f>
        <v>2000</v>
      </c>
      <c r="AC21" s="2">
        <f t="shared" si="0"/>
        <v>4000</v>
      </c>
      <c r="AD21" s="30">
        <v>45873</v>
      </c>
    </row>
    <row r="22" spans="1:30" x14ac:dyDescent="0.3">
      <c r="A22" s="19" t="s">
        <v>264</v>
      </c>
      <c r="B22">
        <v>13</v>
      </c>
      <c r="C22">
        <v>13000</v>
      </c>
      <c r="W22" s="29" t="s">
        <v>256</v>
      </c>
      <c r="X22" s="2" t="s">
        <v>263</v>
      </c>
      <c r="Y22" s="2" t="str" cm="1">
        <f t="array" ref="Y22">_xlfn.SWITCH(W22,"F01","Biryani","F02","Puri","F03","Mutton Biryani","F04","Mutton Soup","F05","Veg Biryani","F06","Panner Biryani","F07","Mushroom Biryani")</f>
        <v>Veg Biryani</v>
      </c>
      <c r="Z22" s="2" t="s">
        <v>264</v>
      </c>
      <c r="AA22" s="2">
        <v>3</v>
      </c>
      <c r="AB22" s="2" t="str" cm="1">
        <f t="array" ref="AB22">_xlfn.SWITCH(Z22,"DINE-IN","2000","TAKEAWAY","1000")</f>
        <v>1000</v>
      </c>
      <c r="AC22" s="2">
        <f t="shared" si="0"/>
        <v>3000</v>
      </c>
      <c r="AD22" s="30">
        <v>45816</v>
      </c>
    </row>
    <row r="23" spans="1:30" x14ac:dyDescent="0.3">
      <c r="A23" s="18" t="s">
        <v>375</v>
      </c>
      <c r="B23">
        <v>2</v>
      </c>
      <c r="C23">
        <v>4000</v>
      </c>
      <c r="W23" s="29" t="s">
        <v>257</v>
      </c>
      <c r="X23" s="2" t="s">
        <v>263</v>
      </c>
      <c r="Y23" s="2" t="str" cm="1">
        <f t="array" ref="Y23">_xlfn.SWITCH(W23,"F01","Biryani","F02","Puri","F03","Mutton Biryani","F04","Mutton Soup","F05","Veg Biryani","F06","Panner Biryani","F07","Mushroom Biryani")</f>
        <v>Panner Biryani</v>
      </c>
      <c r="Z23" s="2" t="s">
        <v>262</v>
      </c>
      <c r="AA23" s="2">
        <v>1</v>
      </c>
      <c r="AB23" s="2" t="str" cm="1">
        <f t="array" ref="AB23">_xlfn.SWITCH(Z23,"DINE-IN","2000","TAKEAWAY","1000")</f>
        <v>2000</v>
      </c>
      <c r="AC23" s="2">
        <f t="shared" si="0"/>
        <v>2000</v>
      </c>
      <c r="AD23" s="30">
        <v>45728</v>
      </c>
    </row>
    <row r="24" spans="1:30" x14ac:dyDescent="0.3">
      <c r="A24" s="19" t="s">
        <v>262</v>
      </c>
      <c r="B24">
        <v>2</v>
      </c>
      <c r="C24">
        <v>4000</v>
      </c>
      <c r="W24" s="29" t="s">
        <v>258</v>
      </c>
      <c r="X24" s="2" t="s">
        <v>263</v>
      </c>
      <c r="Y24" s="2" t="str" cm="1">
        <f t="array" ref="Y24">_xlfn.SWITCH(W24,"F01","Biryani","F02","Puri","F03","Mutton Biryani","F04","Mutton Soup","F05","Veg Biryani","F06","Panner Biryani","F07","Mushroom Biryani")</f>
        <v>Mushroom Biryani</v>
      </c>
      <c r="Z24" s="2" t="s">
        <v>264</v>
      </c>
      <c r="AA24" s="2">
        <v>1</v>
      </c>
      <c r="AB24" s="2" t="str" cm="1">
        <f t="array" ref="AB24">_xlfn.SWITCH(Z24,"DINE-IN","2000","TAKEAWAY","1000")</f>
        <v>1000</v>
      </c>
      <c r="AC24" s="2">
        <f t="shared" si="0"/>
        <v>1000</v>
      </c>
      <c r="AD24" s="30">
        <v>45699</v>
      </c>
    </row>
    <row r="25" spans="1:30" x14ac:dyDescent="0.3">
      <c r="A25" s="15" t="s">
        <v>255</v>
      </c>
      <c r="B25">
        <v>12</v>
      </c>
      <c r="C25">
        <v>24000</v>
      </c>
      <c r="W25" s="29" t="s">
        <v>252</v>
      </c>
      <c r="X25" s="2" t="s">
        <v>260</v>
      </c>
      <c r="Y25" s="2" t="str" cm="1">
        <f t="array" ref="Y25">_xlfn.SWITCH(W25,"F01","Biryani","F02","Puri","F03","Mutton Biryani","F04","Mutton Soup","F05","Veg Biryani","F06","Panner Biryani","F07","Mushroom Biryani")</f>
        <v>Biryani</v>
      </c>
      <c r="Z25" s="2" t="s">
        <v>262</v>
      </c>
      <c r="AA25" s="2">
        <v>3</v>
      </c>
      <c r="AB25" s="2" t="str" cm="1">
        <f t="array" ref="AB25">_xlfn.SWITCH(Z25,"DINE-IN","2000","TAKEAWAY","1000")</f>
        <v>2000</v>
      </c>
      <c r="AC25" s="2">
        <f t="shared" si="0"/>
        <v>6000</v>
      </c>
      <c r="AD25" s="30">
        <v>45882</v>
      </c>
    </row>
    <row r="26" spans="1:30" x14ac:dyDescent="0.3">
      <c r="A26" s="16" t="s">
        <v>260</v>
      </c>
      <c r="B26">
        <v>12</v>
      </c>
      <c r="C26">
        <v>24000</v>
      </c>
      <c r="W26" s="29" t="s">
        <v>253</v>
      </c>
      <c r="X26" s="2" t="s">
        <v>263</v>
      </c>
      <c r="Y26" s="2" t="str" cm="1">
        <f t="array" ref="Y26">_xlfn.SWITCH(W26,"F01","Biryani","F02","Puri","F03","Mutton Biryani","F04","Mutton Soup","F05","Veg Biryani","F06","Panner Biryani","F07","Mushroom Biryani")</f>
        <v>Puri</v>
      </c>
      <c r="Z26" s="2" t="s">
        <v>262</v>
      </c>
      <c r="AA26" s="2">
        <v>2</v>
      </c>
      <c r="AB26" s="2" t="str" cm="1">
        <f t="array" ref="AB26">_xlfn.SWITCH(Z26,"DINE-IN","2000","TAKEAWAY","1000")</f>
        <v>2000</v>
      </c>
      <c r="AC26" s="2">
        <f t="shared" si="0"/>
        <v>4000</v>
      </c>
      <c r="AD26" s="30">
        <v>45727</v>
      </c>
    </row>
    <row r="27" spans="1:30" x14ac:dyDescent="0.3">
      <c r="A27" s="17" t="s">
        <v>389</v>
      </c>
      <c r="B27">
        <v>12</v>
      </c>
      <c r="C27">
        <v>24000</v>
      </c>
      <c r="W27" s="29" t="s">
        <v>254</v>
      </c>
      <c r="X27" s="2" t="s">
        <v>260</v>
      </c>
      <c r="Y27" s="2" t="str" cm="1">
        <f t="array" ref="Y27">_xlfn.SWITCH(W27,"F01","Biryani","F02","Puri","F03","Mutton Biryani","F04","Mutton Soup","F05","Veg Biryani","F06","Panner Biryani","F07","Mushroom Biryani")</f>
        <v>Mutton Biryani</v>
      </c>
      <c r="Z27" s="2" t="s">
        <v>264</v>
      </c>
      <c r="AA27" s="2">
        <v>3</v>
      </c>
      <c r="AB27" s="2" t="str" cm="1">
        <f t="array" ref="AB27">_xlfn.SWITCH(Z27,"DINE-IN","2000","TAKEAWAY","1000")</f>
        <v>1000</v>
      </c>
      <c r="AC27" s="2">
        <f t="shared" si="0"/>
        <v>3000</v>
      </c>
      <c r="AD27" s="30">
        <v>46003</v>
      </c>
    </row>
    <row r="28" spans="1:30" x14ac:dyDescent="0.3">
      <c r="A28" s="18" t="s">
        <v>375</v>
      </c>
      <c r="B28">
        <v>12</v>
      </c>
      <c r="C28">
        <v>24000</v>
      </c>
      <c r="W28" s="29" t="s">
        <v>255</v>
      </c>
      <c r="X28" s="2" t="s">
        <v>260</v>
      </c>
      <c r="Y28" s="2" t="str" cm="1">
        <f t="array" ref="Y28">_xlfn.SWITCH(W28,"F01","Biryani","F02","Puri","F03","Mutton Biryani","F04","Mutton Soup","F05","Veg Biryani","F06","Panner Biryani","F07","Mushroom Biryani")</f>
        <v>Mutton Soup</v>
      </c>
      <c r="Z28" s="2" t="s">
        <v>262</v>
      </c>
      <c r="AA28" s="2">
        <v>1</v>
      </c>
      <c r="AB28" s="2" t="str" cm="1">
        <f t="array" ref="AB28">_xlfn.SWITCH(Z28,"DINE-IN","2000","TAKEAWAY","1000")</f>
        <v>2000</v>
      </c>
      <c r="AC28" s="2">
        <f t="shared" si="0"/>
        <v>2000</v>
      </c>
      <c r="AD28" s="30">
        <v>45748</v>
      </c>
    </row>
    <row r="29" spans="1:30" x14ac:dyDescent="0.3">
      <c r="A29" s="19" t="s">
        <v>262</v>
      </c>
      <c r="B29">
        <v>12</v>
      </c>
      <c r="C29">
        <v>24000</v>
      </c>
      <c r="W29" s="29" t="s">
        <v>256</v>
      </c>
      <c r="X29" s="2" t="s">
        <v>263</v>
      </c>
      <c r="Y29" s="2" t="str" cm="1">
        <f t="array" ref="Y29">_xlfn.SWITCH(W29,"F01","Biryani","F02","Puri","F03","Mutton Biryani","F04","Mutton Soup","F05","Veg Biryani","F06","Panner Biryani","F07","Mushroom Biryani")</f>
        <v>Veg Biryani</v>
      </c>
      <c r="Z29" s="2" t="s">
        <v>264</v>
      </c>
      <c r="AA29" s="2">
        <v>4</v>
      </c>
      <c r="AB29" s="2" t="str" cm="1">
        <f t="array" ref="AB29">_xlfn.SWITCH(Z29,"DINE-IN","2000","TAKEAWAY","1000")</f>
        <v>1000</v>
      </c>
      <c r="AC29" s="2">
        <f t="shared" si="0"/>
        <v>4000</v>
      </c>
      <c r="AD29" s="30">
        <v>45788</v>
      </c>
    </row>
    <row r="30" spans="1:30" x14ac:dyDescent="0.3">
      <c r="A30" s="15" t="s">
        <v>256</v>
      </c>
      <c r="B30">
        <v>22</v>
      </c>
      <c r="C30">
        <v>22000</v>
      </c>
      <c r="W30" s="29" t="s">
        <v>257</v>
      </c>
      <c r="X30" s="2" t="s">
        <v>263</v>
      </c>
      <c r="Y30" s="2" t="str" cm="1">
        <f t="array" ref="Y30">_xlfn.SWITCH(W30,"F01","Biryani","F02","Puri","F03","Mutton Biryani","F04","Mutton Soup","F05","Veg Biryani","F06","Panner Biryani","F07","Mushroom Biryani")</f>
        <v>Panner Biryani</v>
      </c>
      <c r="Z30" s="2" t="s">
        <v>264</v>
      </c>
      <c r="AA30" s="2">
        <v>4</v>
      </c>
      <c r="AB30" s="2" t="str" cm="1">
        <f t="array" ref="AB30">_xlfn.SWITCH(Z30,"DINE-IN","2000","TAKEAWAY","1000")</f>
        <v>1000</v>
      </c>
      <c r="AC30" s="2">
        <f t="shared" si="0"/>
        <v>4000</v>
      </c>
      <c r="AD30" s="30">
        <v>45911</v>
      </c>
    </row>
    <row r="31" spans="1:30" x14ac:dyDescent="0.3">
      <c r="A31" s="16" t="s">
        <v>263</v>
      </c>
      <c r="B31">
        <v>22</v>
      </c>
      <c r="C31">
        <v>22000</v>
      </c>
      <c r="W31" s="29" t="s">
        <v>258</v>
      </c>
      <c r="X31" s="2" t="s">
        <v>263</v>
      </c>
      <c r="Y31" s="2" t="str" cm="1">
        <f t="array" ref="Y31">_xlfn.SWITCH(W31,"F01","Biryani","F02","Puri","F03","Mutton Biryani","F04","Mutton Soup","F05","Veg Biryani","F06","Panner Biryani","F07","Mushroom Biryani")</f>
        <v>Mushroom Biryani</v>
      </c>
      <c r="Z31" s="2" t="s">
        <v>262</v>
      </c>
      <c r="AA31" s="2">
        <v>3</v>
      </c>
      <c r="AB31" s="2" t="str" cm="1">
        <f t="array" ref="AB31">_xlfn.SWITCH(Z31,"DINE-IN","2000","TAKEAWAY","1000")</f>
        <v>2000</v>
      </c>
      <c r="AC31" s="2">
        <f t="shared" si="0"/>
        <v>6000</v>
      </c>
      <c r="AD31" s="30">
        <v>45873</v>
      </c>
    </row>
    <row r="32" spans="1:30" x14ac:dyDescent="0.3">
      <c r="A32" s="17" t="s">
        <v>390</v>
      </c>
      <c r="B32">
        <v>22</v>
      </c>
      <c r="C32">
        <v>22000</v>
      </c>
      <c r="W32" s="29" t="s">
        <v>256</v>
      </c>
      <c r="X32" s="2" t="s">
        <v>263</v>
      </c>
      <c r="Y32" s="2" t="str" cm="1">
        <f t="array" ref="Y32">_xlfn.SWITCH(W32,"F01","Biryani","F02","Puri","F03","Mutton Biryani","F04","Mutton Soup","F05","Veg Biryani","F06","Panner Biryani","F07","Mushroom Biryani")</f>
        <v>Veg Biryani</v>
      </c>
      <c r="Z32" s="2" t="s">
        <v>264</v>
      </c>
      <c r="AA32" s="2">
        <v>2</v>
      </c>
      <c r="AB32" s="2" t="str" cm="1">
        <f t="array" ref="AB32">_xlfn.SWITCH(Z32,"DINE-IN","2000","TAKEAWAY","1000")</f>
        <v>1000</v>
      </c>
      <c r="AC32" s="2">
        <f t="shared" si="0"/>
        <v>2000</v>
      </c>
      <c r="AD32" s="30">
        <v>45816</v>
      </c>
    </row>
    <row r="33" spans="1:30" x14ac:dyDescent="0.3">
      <c r="A33" s="18" t="s">
        <v>394</v>
      </c>
      <c r="B33">
        <v>22</v>
      </c>
      <c r="C33">
        <v>22000</v>
      </c>
      <c r="W33" s="29" t="s">
        <v>257</v>
      </c>
      <c r="X33" s="2" t="s">
        <v>263</v>
      </c>
      <c r="Y33" s="2" t="str" cm="1">
        <f t="array" ref="Y33">_xlfn.SWITCH(W33,"F01","Biryani","F02","Puri","F03","Mutton Biryani","F04","Mutton Soup","F05","Veg Biryani","F06","Panner Biryani","F07","Mushroom Biryani")</f>
        <v>Panner Biryani</v>
      </c>
      <c r="Z33" s="2" t="s">
        <v>262</v>
      </c>
      <c r="AA33" s="2">
        <v>4</v>
      </c>
      <c r="AB33" s="2" t="str" cm="1">
        <f t="array" ref="AB33">_xlfn.SWITCH(Z33,"DINE-IN","2000","TAKEAWAY","1000")</f>
        <v>2000</v>
      </c>
      <c r="AC33" s="2">
        <f t="shared" si="0"/>
        <v>8000</v>
      </c>
      <c r="AD33" s="30">
        <v>45728</v>
      </c>
    </row>
    <row r="34" spans="1:30" x14ac:dyDescent="0.3">
      <c r="A34" s="19" t="s">
        <v>264</v>
      </c>
      <c r="B34">
        <v>22</v>
      </c>
      <c r="C34">
        <v>22000</v>
      </c>
      <c r="W34" s="29" t="s">
        <v>258</v>
      </c>
      <c r="X34" s="2" t="s">
        <v>263</v>
      </c>
      <c r="Y34" s="2" t="str" cm="1">
        <f t="array" ref="Y34">_xlfn.SWITCH(W34,"F01","Biryani","F02","Puri","F03","Mutton Biryani","F04","Mutton Soup","F05","Veg Biryani","F06","Panner Biryani","F07","Mushroom Biryani")</f>
        <v>Mushroom Biryani</v>
      </c>
      <c r="Z34" s="2" t="s">
        <v>264</v>
      </c>
      <c r="AA34" s="2">
        <v>1</v>
      </c>
      <c r="AB34" s="2" t="str" cm="1">
        <f t="array" ref="AB34">_xlfn.SWITCH(Z34,"DINE-IN","2000","TAKEAWAY","1000")</f>
        <v>1000</v>
      </c>
      <c r="AC34" s="2">
        <f t="shared" si="0"/>
        <v>1000</v>
      </c>
      <c r="AD34" s="30">
        <v>45699</v>
      </c>
    </row>
    <row r="35" spans="1:30" x14ac:dyDescent="0.3">
      <c r="A35" s="15" t="s">
        <v>257</v>
      </c>
      <c r="B35">
        <v>18</v>
      </c>
      <c r="C35">
        <v>29000</v>
      </c>
      <c r="W35" s="29" t="s">
        <v>252</v>
      </c>
      <c r="X35" s="2" t="s">
        <v>260</v>
      </c>
      <c r="Y35" s="2" t="str" cm="1">
        <f t="array" ref="Y35">_xlfn.SWITCH(W35,"F01","Biryani","F02","Puri","F03","Mutton Biryani","F04","Mutton Soup","F05","Veg Biryani","F06","Panner Biryani","F07","Mushroom Biryani")</f>
        <v>Biryani</v>
      </c>
      <c r="Z35" s="2" t="s">
        <v>262</v>
      </c>
      <c r="AA35" s="2">
        <v>3</v>
      </c>
      <c r="AB35" s="2" t="str" cm="1">
        <f t="array" ref="AB35">_xlfn.SWITCH(Z35,"DINE-IN","2000","TAKEAWAY","1000")</f>
        <v>2000</v>
      </c>
      <c r="AC35" s="2">
        <f t="shared" si="0"/>
        <v>6000</v>
      </c>
      <c r="AD35" s="30">
        <v>45882</v>
      </c>
    </row>
    <row r="36" spans="1:30" x14ac:dyDescent="0.3">
      <c r="A36" s="16" t="s">
        <v>263</v>
      </c>
      <c r="B36">
        <v>18</v>
      </c>
      <c r="C36">
        <v>29000</v>
      </c>
      <c r="W36" s="29" t="s">
        <v>253</v>
      </c>
      <c r="X36" s="2" t="s">
        <v>263</v>
      </c>
      <c r="Y36" s="2" t="str" cm="1">
        <f t="array" ref="Y36">_xlfn.SWITCH(W36,"F01","Biryani","F02","Puri","F03","Mutton Biryani","F04","Mutton Soup","F05","Veg Biryani","F06","Panner Biryani","F07","Mushroom Biryani")</f>
        <v>Puri</v>
      </c>
      <c r="Z36" s="2" t="s">
        <v>262</v>
      </c>
      <c r="AA36" s="2">
        <v>2</v>
      </c>
      <c r="AB36" s="2" t="str" cm="1">
        <f t="array" ref="AB36">_xlfn.SWITCH(Z36,"DINE-IN","2000","TAKEAWAY","1000")</f>
        <v>2000</v>
      </c>
      <c r="AC36" s="2">
        <f t="shared" si="0"/>
        <v>4000</v>
      </c>
      <c r="AD36" s="30">
        <v>45727</v>
      </c>
    </row>
    <row r="37" spans="1:30" x14ac:dyDescent="0.3">
      <c r="A37" s="17" t="s">
        <v>391</v>
      </c>
      <c r="B37">
        <v>18</v>
      </c>
      <c r="C37">
        <v>29000</v>
      </c>
      <c r="W37" s="29" t="s">
        <v>256</v>
      </c>
      <c r="X37" s="2" t="s">
        <v>263</v>
      </c>
      <c r="Y37" s="2" t="str" cm="1">
        <f t="array" ref="Y37">_xlfn.SWITCH(W37,"F01","Biryani","F02","Puri","F03","Mutton Biryani","F04","Mutton Soup","F05","Veg Biryani","F06","Panner Biryani","F07","Mushroom Biryani")</f>
        <v>Veg Biryani</v>
      </c>
      <c r="Z37" s="2" t="s">
        <v>264</v>
      </c>
      <c r="AA37" s="2">
        <v>4</v>
      </c>
      <c r="AB37" s="2" t="str" cm="1">
        <f t="array" ref="AB37">_xlfn.SWITCH(Z37,"DINE-IN","2000","TAKEAWAY","1000")</f>
        <v>1000</v>
      </c>
      <c r="AC37" s="2">
        <f t="shared" si="0"/>
        <v>4000</v>
      </c>
      <c r="AD37" s="30">
        <v>46003</v>
      </c>
    </row>
    <row r="38" spans="1:30" x14ac:dyDescent="0.3">
      <c r="A38" s="18" t="s">
        <v>394</v>
      </c>
      <c r="B38">
        <v>7</v>
      </c>
      <c r="C38">
        <v>7000</v>
      </c>
      <c r="W38" s="29" t="s">
        <v>257</v>
      </c>
      <c r="X38" s="2" t="s">
        <v>263</v>
      </c>
      <c r="Y38" s="2" t="str" cm="1">
        <f t="array" ref="Y38">_xlfn.SWITCH(W38,"F01","Biryani","F02","Puri","F03","Mutton Biryani","F04","Mutton Soup","F05","Veg Biryani","F06","Panner Biryani","F07","Mushroom Biryani")</f>
        <v>Panner Biryani</v>
      </c>
      <c r="Z38" s="2" t="s">
        <v>262</v>
      </c>
      <c r="AA38" s="2">
        <v>2</v>
      </c>
      <c r="AB38" s="2" t="str" cm="1">
        <f t="array" ref="AB38">_xlfn.SWITCH(Z38,"DINE-IN","2000","TAKEAWAY","1000")</f>
        <v>2000</v>
      </c>
      <c r="AC38" s="2">
        <f t="shared" si="0"/>
        <v>4000</v>
      </c>
      <c r="AD38" s="30">
        <v>45748</v>
      </c>
    </row>
    <row r="39" spans="1:30" x14ac:dyDescent="0.3">
      <c r="A39" s="19" t="s">
        <v>264</v>
      </c>
      <c r="B39">
        <v>7</v>
      </c>
      <c r="C39">
        <v>7000</v>
      </c>
      <c r="W39" s="29" t="s">
        <v>258</v>
      </c>
      <c r="X39" s="2" t="s">
        <v>263</v>
      </c>
      <c r="Y39" s="2" t="str" cm="1">
        <f t="array" ref="Y39">_xlfn.SWITCH(W39,"F01","Biryani","F02","Puri","F03","Mutton Biryani","F04","Mutton Soup","F05","Veg Biryani","F06","Panner Biryani","F07","Mushroom Biryani")</f>
        <v>Mushroom Biryani</v>
      </c>
      <c r="Z39" s="2" t="s">
        <v>264</v>
      </c>
      <c r="AA39" s="2">
        <v>4</v>
      </c>
      <c r="AB39" s="2" t="str" cm="1">
        <f t="array" ref="AB39">_xlfn.SWITCH(Z39,"DINE-IN","2000","TAKEAWAY","1000")</f>
        <v>1000</v>
      </c>
      <c r="AC39" s="2">
        <f t="shared" si="0"/>
        <v>4000</v>
      </c>
      <c r="AD39" s="30">
        <v>45788</v>
      </c>
    </row>
    <row r="40" spans="1:30" x14ac:dyDescent="0.3">
      <c r="A40" s="18" t="s">
        <v>375</v>
      </c>
      <c r="B40">
        <v>11</v>
      </c>
      <c r="C40">
        <v>22000</v>
      </c>
      <c r="W40" s="29" t="s">
        <v>254</v>
      </c>
      <c r="X40" s="2" t="s">
        <v>260</v>
      </c>
      <c r="Y40" s="2" t="str" cm="1">
        <f t="array" ref="Y40">_xlfn.SWITCH(W40,"F01","Biryani","F02","Puri","F03","Mutton Biryani","F04","Mutton Soup","F05","Veg Biryani","F06","Panner Biryani","F07","Mushroom Biryani")</f>
        <v>Mutton Biryani</v>
      </c>
      <c r="Z40" s="2" t="s">
        <v>264</v>
      </c>
      <c r="AA40" s="2">
        <v>3</v>
      </c>
      <c r="AB40" s="2" t="str" cm="1">
        <f t="array" ref="AB40">_xlfn.SWITCH(Z40,"DINE-IN","2000","TAKEAWAY","1000")</f>
        <v>1000</v>
      </c>
      <c r="AC40" s="2">
        <f t="shared" si="0"/>
        <v>3000</v>
      </c>
      <c r="AD40" s="30">
        <v>45911</v>
      </c>
    </row>
    <row r="41" spans="1:30" x14ac:dyDescent="0.3">
      <c r="A41" s="19" t="s">
        <v>262</v>
      </c>
      <c r="B41">
        <v>11</v>
      </c>
      <c r="C41">
        <v>22000</v>
      </c>
      <c r="W41" s="29" t="s">
        <v>255</v>
      </c>
      <c r="X41" s="2" t="s">
        <v>260</v>
      </c>
      <c r="Y41" s="2" t="str" cm="1">
        <f t="array" ref="Y41">_xlfn.SWITCH(W41,"F01","Biryani","F02","Puri","F03","Mutton Biryani","F04","Mutton Soup","F05","Veg Biryani","F06","Panner Biryani","F07","Mushroom Biryani")</f>
        <v>Mutton Soup</v>
      </c>
      <c r="Z41" s="2" t="s">
        <v>262</v>
      </c>
      <c r="AA41" s="2">
        <v>1</v>
      </c>
      <c r="AB41" s="2" t="str" cm="1">
        <f t="array" ref="AB41">_xlfn.SWITCH(Z41,"DINE-IN","2000","TAKEAWAY","1000")</f>
        <v>2000</v>
      </c>
      <c r="AC41" s="2">
        <f t="shared" si="0"/>
        <v>2000</v>
      </c>
      <c r="AD41" s="30">
        <v>45873</v>
      </c>
    </row>
    <row r="42" spans="1:30" x14ac:dyDescent="0.3">
      <c r="A42" s="15" t="s">
        <v>258</v>
      </c>
      <c r="B42">
        <v>18</v>
      </c>
      <c r="C42">
        <v>23000</v>
      </c>
      <c r="W42" s="29" t="s">
        <v>252</v>
      </c>
      <c r="X42" s="2" t="s">
        <v>260</v>
      </c>
      <c r="Y42" s="2" t="str" cm="1">
        <f t="array" ref="Y42">_xlfn.SWITCH(W42,"F01","Biryani","F02","Puri","F03","Mutton Biryani","F04","Mutton Soup","F05","Veg Biryani","F06","Panner Biryani","F07","Mushroom Biryani")</f>
        <v>Biryani</v>
      </c>
      <c r="Z42" s="2" t="s">
        <v>264</v>
      </c>
      <c r="AA42" s="2">
        <v>4</v>
      </c>
      <c r="AB42" s="2" t="str" cm="1">
        <f t="array" ref="AB42">_xlfn.SWITCH(Z42,"DINE-IN","2000","TAKEAWAY","1000")</f>
        <v>1000</v>
      </c>
      <c r="AC42" s="2">
        <f t="shared" si="0"/>
        <v>4000</v>
      </c>
      <c r="AD42" s="30">
        <v>45816</v>
      </c>
    </row>
    <row r="43" spans="1:30" x14ac:dyDescent="0.3">
      <c r="A43" s="16" t="s">
        <v>263</v>
      </c>
      <c r="B43">
        <v>18</v>
      </c>
      <c r="C43">
        <v>23000</v>
      </c>
      <c r="W43" s="29" t="s">
        <v>252</v>
      </c>
      <c r="X43" s="2" t="s">
        <v>260</v>
      </c>
      <c r="Y43" s="2" t="str" cm="1">
        <f t="array" ref="Y43">_xlfn.SWITCH(W43,"F01","Biryani","F02","Puri","F03","Mutton Biryani","F04","Mutton Soup","F05","Veg Biryani","F06","Panner Biryani","F07","Mushroom Biryani")</f>
        <v>Biryani</v>
      </c>
      <c r="Z43" s="2" t="s">
        <v>262</v>
      </c>
      <c r="AA43" s="2">
        <v>2</v>
      </c>
      <c r="AB43" s="2" t="str" cm="1">
        <f t="array" ref="AB43">_xlfn.SWITCH(Z43,"DINE-IN","2000","TAKEAWAY","1000")</f>
        <v>2000</v>
      </c>
      <c r="AC43" s="2">
        <f t="shared" si="0"/>
        <v>4000</v>
      </c>
      <c r="AD43" s="30">
        <v>45728</v>
      </c>
    </row>
    <row r="44" spans="1:30" x14ac:dyDescent="0.3">
      <c r="A44" s="17" t="s">
        <v>392</v>
      </c>
      <c r="B44">
        <v>18</v>
      </c>
      <c r="C44">
        <v>23000</v>
      </c>
      <c r="W44" s="29" t="s">
        <v>258</v>
      </c>
      <c r="X44" s="2" t="s">
        <v>263</v>
      </c>
      <c r="Y44" s="2" t="str" cm="1">
        <f t="array" ref="Y44">_xlfn.SWITCH(W44,"F01","Biryani","F02","Puri","F03","Mutton Biryani","F04","Mutton Soup","F05","Veg Biryani","F06","Panner Biryani","F07","Mushroom Biryani")</f>
        <v>Mushroom Biryani</v>
      </c>
      <c r="Z44" s="2" t="s">
        <v>264</v>
      </c>
      <c r="AA44" s="2">
        <v>4</v>
      </c>
      <c r="AB44" s="2" t="str" cm="1">
        <f t="array" ref="AB44">_xlfn.SWITCH(Z44,"DINE-IN","2000","TAKEAWAY","1000")</f>
        <v>1000</v>
      </c>
      <c r="AC44" s="2">
        <f t="shared" si="0"/>
        <v>4000</v>
      </c>
      <c r="AD44" s="30">
        <v>45699</v>
      </c>
    </row>
    <row r="45" spans="1:30" x14ac:dyDescent="0.3">
      <c r="A45" s="18" t="s">
        <v>394</v>
      </c>
      <c r="B45">
        <v>13</v>
      </c>
      <c r="C45">
        <v>13000</v>
      </c>
      <c r="W45" s="29" t="s">
        <v>252</v>
      </c>
      <c r="X45" s="2" t="s">
        <v>260</v>
      </c>
      <c r="Y45" s="2" t="str" cm="1">
        <f t="array" ref="Y45">_xlfn.SWITCH(W45,"F01","Biryani","F02","Puri","F03","Mutton Biryani","F04","Mutton Soup","F05","Veg Biryani","F06","Panner Biryani","F07","Mushroom Biryani")</f>
        <v>Biryani</v>
      </c>
      <c r="Z45" s="2" t="s">
        <v>262</v>
      </c>
      <c r="AA45" s="2">
        <v>2</v>
      </c>
      <c r="AB45" s="2" t="str" cm="1">
        <f t="array" ref="AB45">_xlfn.SWITCH(Z45,"DINE-IN","2000","TAKEAWAY","1000")</f>
        <v>2000</v>
      </c>
      <c r="AC45" s="2">
        <f t="shared" si="0"/>
        <v>4000</v>
      </c>
      <c r="AD45" s="30">
        <v>45882</v>
      </c>
    </row>
    <row r="46" spans="1:30" x14ac:dyDescent="0.3">
      <c r="A46" s="19" t="s">
        <v>264</v>
      </c>
      <c r="B46">
        <v>13</v>
      </c>
      <c r="C46">
        <v>13000</v>
      </c>
      <c r="W46" s="29" t="s">
        <v>253</v>
      </c>
      <c r="X46" s="2" t="s">
        <v>263</v>
      </c>
      <c r="Y46" s="2" t="str" cm="1">
        <f t="array" ref="Y46">_xlfn.SWITCH(W46,"F01","Biryani","F02","Puri","F03","Mutton Biryani","F04","Mutton Soup","F05","Veg Biryani","F06","Panner Biryani","F07","Mushroom Biryani")</f>
        <v>Puri</v>
      </c>
      <c r="Z46" s="2" t="s">
        <v>262</v>
      </c>
      <c r="AA46" s="2">
        <v>3</v>
      </c>
      <c r="AB46" s="2" t="str" cm="1">
        <f t="array" ref="AB46">_xlfn.SWITCH(Z46,"DINE-IN","2000","TAKEAWAY","1000")</f>
        <v>2000</v>
      </c>
      <c r="AC46" s="2">
        <f t="shared" si="0"/>
        <v>6000</v>
      </c>
      <c r="AD46" s="30">
        <v>45727</v>
      </c>
    </row>
    <row r="47" spans="1:30" x14ac:dyDescent="0.3">
      <c r="A47" s="18" t="s">
        <v>375</v>
      </c>
      <c r="B47">
        <v>5</v>
      </c>
      <c r="C47">
        <v>10000</v>
      </c>
      <c r="W47" s="29" t="s">
        <v>254</v>
      </c>
      <c r="X47" s="2" t="s">
        <v>260</v>
      </c>
      <c r="Y47" s="2" t="str" cm="1">
        <f t="array" ref="Y47">_xlfn.SWITCH(W47,"F01","Biryani","F02","Puri","F03","Mutton Biryani","F04","Mutton Soup","F05","Veg Biryani","F06","Panner Biryani","F07","Mushroom Biryani")</f>
        <v>Mutton Biryani</v>
      </c>
      <c r="Z47" s="2" t="s">
        <v>264</v>
      </c>
      <c r="AA47" s="2">
        <v>1</v>
      </c>
      <c r="AB47" s="2" t="str" cm="1">
        <f t="array" ref="AB47">_xlfn.SWITCH(Z47,"DINE-IN","2000","TAKEAWAY","1000")</f>
        <v>1000</v>
      </c>
      <c r="AC47" s="2">
        <f t="shared" si="0"/>
        <v>1000</v>
      </c>
      <c r="AD47" s="30">
        <v>46003</v>
      </c>
    </row>
    <row r="48" spans="1:30" x14ac:dyDescent="0.3">
      <c r="A48" s="19" t="s">
        <v>262</v>
      </c>
      <c r="B48">
        <v>5</v>
      </c>
      <c r="C48">
        <v>10000</v>
      </c>
      <c r="W48" s="29" t="s">
        <v>255</v>
      </c>
      <c r="X48" s="2" t="s">
        <v>260</v>
      </c>
      <c r="Y48" s="2" t="str" cm="1">
        <f t="array" ref="Y48">_xlfn.SWITCH(W48,"F01","Biryani","F02","Puri","F03","Mutton Biryani","F04","Mutton Soup","F05","Veg Biryani","F06","Panner Biryani","F07","Mushroom Biryani")</f>
        <v>Mutton Soup</v>
      </c>
      <c r="Z48" s="2" t="s">
        <v>262</v>
      </c>
      <c r="AA48" s="2">
        <v>3</v>
      </c>
      <c r="AB48" s="2" t="str" cm="1">
        <f t="array" ref="AB48">_xlfn.SWITCH(Z48,"DINE-IN","2000","TAKEAWAY","1000")</f>
        <v>2000</v>
      </c>
      <c r="AC48" s="2">
        <f t="shared" si="0"/>
        <v>6000</v>
      </c>
      <c r="AD48" s="30">
        <v>45748</v>
      </c>
    </row>
    <row r="49" spans="1:30" x14ac:dyDescent="0.3">
      <c r="A49" s="15" t="s">
        <v>372</v>
      </c>
      <c r="B49">
        <v>115</v>
      </c>
      <c r="C49">
        <v>167000</v>
      </c>
      <c r="W49" s="29" t="s">
        <v>256</v>
      </c>
      <c r="X49" s="2" t="s">
        <v>263</v>
      </c>
      <c r="Y49" s="2" t="str" cm="1">
        <f t="array" ref="Y49">_xlfn.SWITCH(W49,"F01","Biryani","F02","Puri","F03","Mutton Biryani","F04","Mutton Soup","F05","Veg Biryani","F06","Panner Biryani","F07","Mushroom Biryani")</f>
        <v>Veg Biryani</v>
      </c>
      <c r="Z49" s="2" t="s">
        <v>264</v>
      </c>
      <c r="AA49" s="2">
        <v>4</v>
      </c>
      <c r="AB49" s="2" t="str" cm="1">
        <f t="array" ref="AB49">_xlfn.SWITCH(Z49,"DINE-IN","2000","TAKEAWAY","1000")</f>
        <v>1000</v>
      </c>
      <c r="AC49" s="2">
        <f t="shared" si="0"/>
        <v>4000</v>
      </c>
      <c r="AD49" s="30">
        <v>45788</v>
      </c>
    </row>
    <row r="50" spans="1:30" x14ac:dyDescent="0.3">
      <c r="W50" s="29" t="s">
        <v>257</v>
      </c>
      <c r="X50" s="2" t="s">
        <v>263</v>
      </c>
      <c r="Y50" s="2" t="str" cm="1">
        <f t="array" ref="Y50">_xlfn.SWITCH(W50,"F01","Biryani","F02","Puri","F03","Mutton Biryani","F04","Mutton Soup","F05","Veg Biryani","F06","Panner Biryani","F07","Mushroom Biryani")</f>
        <v>Panner Biryani</v>
      </c>
      <c r="Z50" s="2" t="s">
        <v>264</v>
      </c>
      <c r="AA50" s="2">
        <v>2</v>
      </c>
      <c r="AB50" s="2" t="str" cm="1">
        <f t="array" ref="AB50">_xlfn.SWITCH(Z50,"DINE-IN","2000","TAKEAWAY","1000")</f>
        <v>1000</v>
      </c>
      <c r="AC50" s="2">
        <f t="shared" si="0"/>
        <v>2000</v>
      </c>
      <c r="AD50" s="30">
        <v>45911</v>
      </c>
    </row>
    <row r="51" spans="1:30" x14ac:dyDescent="0.3">
      <c r="W51" s="29" t="s">
        <v>252</v>
      </c>
      <c r="X51" s="2" t="s">
        <v>260</v>
      </c>
      <c r="Y51" s="2" t="str" cm="1">
        <f t="array" ref="Y51">_xlfn.SWITCH(W51,"F01","Biryani","F02","Puri","F03","Mutton Biryani","F04","Mutton Soup","F05","Veg Biryani","F06","Panner Biryani","F07","Mushroom Biryani")</f>
        <v>Biryani</v>
      </c>
      <c r="Z51" s="2" t="s">
        <v>262</v>
      </c>
      <c r="AA51" s="2">
        <v>1</v>
      </c>
      <c r="AB51" s="2" t="str" cm="1">
        <f t="array" ref="AB51">_xlfn.SWITCH(Z51,"DINE-IN","2000","TAKEAWAY","1000")</f>
        <v>2000</v>
      </c>
      <c r="AC51" s="2">
        <f t="shared" si="0"/>
        <v>2000</v>
      </c>
      <c r="AD51" s="30">
        <v>45873</v>
      </c>
    </row>
    <row r="52" spans="1:30" x14ac:dyDescent="0.3">
      <c r="W52" s="31" t="s">
        <v>252</v>
      </c>
      <c r="X52" s="32" t="s">
        <v>260</v>
      </c>
      <c r="Y52" s="32" t="str" cm="1">
        <f t="array" ref="Y52">_xlfn.SWITCH(W52,"F01","Biryani","F02","Puri","F03","Mutton Biryani","F04","Mutton Soup","F05","Veg Biryani","F06","Panner Biryani","F07","Mushroom Biryani")</f>
        <v>Biryani</v>
      </c>
      <c r="Z52" s="32" t="s">
        <v>264</v>
      </c>
      <c r="AA52" s="32">
        <v>2</v>
      </c>
      <c r="AB52" s="32" t="str" cm="1">
        <f t="array" ref="AB52">_xlfn.SWITCH(Z52,"DINE-IN","2000","TAKEAWAY","1000")</f>
        <v>1000</v>
      </c>
      <c r="AC52" s="32">
        <f t="shared" si="0"/>
        <v>2000</v>
      </c>
      <c r="AD52" s="33">
        <v>45816</v>
      </c>
    </row>
  </sheetData>
  <conditionalFormatting sqref="Y3:Z3 X3:X52 Y4:Y52">
    <cfRule type="containsText" dxfId="9" priority="5" operator="containsText" text="Non-veg">
      <formula>NOT(ISERROR(SEARCH("Non-veg",X3)))</formula>
    </cfRule>
  </conditionalFormatting>
  <conditionalFormatting sqref="Z13">
    <cfRule type="containsText" dxfId="8" priority="4" operator="containsText" text="Non-veg">
      <formula>NOT(ISERROR(SEARCH("Non-veg",Z13)))</formula>
    </cfRule>
  </conditionalFormatting>
  <conditionalFormatting sqref="Z23">
    <cfRule type="containsText" dxfId="7" priority="3" operator="containsText" text="Non-veg">
      <formula>NOT(ISERROR(SEARCH("Non-veg",Z23)))</formula>
    </cfRule>
  </conditionalFormatting>
  <conditionalFormatting sqref="Z33">
    <cfRule type="containsText" dxfId="6" priority="2" operator="containsText" text="Non-veg">
      <formula>NOT(ISERROR(SEARCH("Non-veg",Z33)))</formula>
    </cfRule>
  </conditionalFormatting>
  <conditionalFormatting sqref="Z43">
    <cfRule type="containsText" dxfId="5" priority="1" operator="containsText" text="Non-veg">
      <formula>NOT(ISERROR(SEARCH("Non-veg",Z43)))</formula>
    </cfRule>
  </conditionalFormatting>
  <dataValidations count="2">
    <dataValidation type="list" allowBlank="1" showInputMessage="1" showErrorMessage="1" errorTitle="Message" error="Above list only available" sqref="Z3:Z52" xr:uid="{9D44A008-9367-44AB-8CD2-A53B19D55E48}">
      <formula1>"Dine-in,Takeaway"</formula1>
    </dataValidation>
    <dataValidation type="list" allowBlank="1" showInputMessage="1" showErrorMessage="1" sqref="X3:X52" xr:uid="{8714FC46-ED6D-4885-82B0-E98F084FE27E}">
      <formula1>"Veg,Non-Veg"</formula1>
    </dataValidation>
  </dataValidations>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367A9-898C-4688-8052-037675C2FCF6}">
  <dimension ref="A1:P51"/>
  <sheetViews>
    <sheetView showGridLines="0" workbookViewId="0">
      <selection activeCell="K17" sqref="K17"/>
    </sheetView>
  </sheetViews>
  <sheetFormatPr defaultRowHeight="14.4" x14ac:dyDescent="0.3"/>
  <cols>
    <col min="1" max="1" width="7.21875" bestFit="1" customWidth="1"/>
    <col min="2" max="2" width="9.33203125" bestFit="1" customWidth="1"/>
    <col min="3" max="3" width="15.44140625" bestFit="1" customWidth="1"/>
    <col min="4" max="4" width="10" bestFit="1" customWidth="1"/>
    <col min="5" max="5" width="8.109375" bestFit="1" customWidth="1"/>
    <col min="6" max="6" width="5.33203125" bestFit="1" customWidth="1"/>
    <col min="7" max="7" width="11.88671875" bestFit="1" customWidth="1"/>
    <col min="10" max="10" width="7.21875" bestFit="1" customWidth="1"/>
    <col min="11" max="11" width="9.33203125" bestFit="1" customWidth="1"/>
    <col min="12" max="12" width="10.88671875" bestFit="1" customWidth="1"/>
    <col min="13" max="13" width="11.88671875" bestFit="1" customWidth="1"/>
    <col min="14" max="14" width="8.109375" bestFit="1" customWidth="1"/>
    <col min="15" max="15" width="5.33203125" bestFit="1" customWidth="1"/>
    <col min="16" max="16" width="11.88671875" bestFit="1" customWidth="1"/>
  </cols>
  <sheetData>
    <row r="1" spans="1:16" x14ac:dyDescent="0.3">
      <c r="A1" s="3" t="s">
        <v>32</v>
      </c>
      <c r="B1" s="3" t="s">
        <v>259</v>
      </c>
      <c r="C1" s="3" t="s">
        <v>33</v>
      </c>
      <c r="D1" s="3" t="s">
        <v>261</v>
      </c>
      <c r="E1" s="3" t="s">
        <v>34</v>
      </c>
      <c r="F1" s="3" t="s">
        <v>35</v>
      </c>
      <c r="G1" s="3" t="s">
        <v>36</v>
      </c>
    </row>
    <row r="2" spans="1:16" x14ac:dyDescent="0.3">
      <c r="A2" s="2" t="s">
        <v>252</v>
      </c>
      <c r="B2" s="2" t="s">
        <v>260</v>
      </c>
      <c r="C2" s="2" t="str" cm="1">
        <f t="array" ref="C2">_xlfn.SWITCH(A2,"F01","Biryani","F02","Puri","F03","Mutton Biryani","F04","Mutton Soup","F05","Veg Biryani","F06","Panner Biryani","F07","Mushroom Biryani")</f>
        <v>Biryani</v>
      </c>
      <c r="D2" s="2" t="s">
        <v>262</v>
      </c>
      <c r="E2" s="2">
        <v>1</v>
      </c>
      <c r="F2" s="2" t="str" cm="1">
        <f t="array" ref="F2">_xlfn.SWITCH(D2,"DINE-IN","2000","TAKEAWAY","1000")</f>
        <v>2000</v>
      </c>
      <c r="G2" s="2">
        <f>E2*F2</f>
        <v>2000</v>
      </c>
    </row>
    <row r="3" spans="1:16" x14ac:dyDescent="0.3">
      <c r="A3" s="2" t="s">
        <v>253</v>
      </c>
      <c r="B3" s="2" t="s">
        <v>263</v>
      </c>
      <c r="C3" s="2" t="str" cm="1">
        <f t="array" ref="C3">_xlfn.SWITCH(A3,"F01","Biryani","F02","Puri","F03","Mutton Biryani","F04","Mutton Soup","F05","Veg Biryani","F06","Panner Biryani","F07","Mushroom Biryani")</f>
        <v>Puri</v>
      </c>
      <c r="D3" s="2" t="s">
        <v>264</v>
      </c>
      <c r="E3" s="2">
        <v>2</v>
      </c>
      <c r="F3" s="2" t="str" cm="1">
        <f t="array" ref="F3">_xlfn.SWITCH(D3,"DINE-IN","2000","TAKEAWAY","1000")</f>
        <v>1000</v>
      </c>
      <c r="G3" s="2">
        <f t="shared" ref="G3:G51" si="0">E3*F3</f>
        <v>2000</v>
      </c>
    </row>
    <row r="4" spans="1:16" x14ac:dyDescent="0.3">
      <c r="A4" s="2" t="s">
        <v>254</v>
      </c>
      <c r="B4" s="2" t="s">
        <v>260</v>
      </c>
      <c r="C4" s="2" t="str" cm="1">
        <f t="array" ref="C4">_xlfn.SWITCH(A4,"F01","Biryani","F02","Puri","F03","Mutton Biryani","F04","Mutton Soup","F05","Veg Biryani","F06","Panner Biryani","F07","Mushroom Biryani")</f>
        <v>Mutton Biryani</v>
      </c>
      <c r="D4" s="2" t="s">
        <v>262</v>
      </c>
      <c r="E4" s="2">
        <v>2</v>
      </c>
      <c r="F4" s="2" t="str" cm="1">
        <f t="array" ref="F4">_xlfn.SWITCH(D4,"DINE-IN","2000","TAKEAWAY","1000")</f>
        <v>2000</v>
      </c>
      <c r="G4" s="2">
        <f t="shared" si="0"/>
        <v>4000</v>
      </c>
    </row>
    <row r="5" spans="1:16" x14ac:dyDescent="0.3">
      <c r="A5" s="2" t="s">
        <v>255</v>
      </c>
      <c r="B5" s="2" t="s">
        <v>260</v>
      </c>
      <c r="C5" s="2" t="str" cm="1">
        <f t="array" ref="C5">_xlfn.SWITCH(A5,"F01","Biryani","F02","Puri","F03","Mutton Biryani","F04","Mutton Soup","F05","Veg Biryani","F06","Panner Biryani","F07","Mushroom Biryani")</f>
        <v>Mutton Soup</v>
      </c>
      <c r="D5" s="2" t="s">
        <v>262</v>
      </c>
      <c r="E5" s="2">
        <v>3</v>
      </c>
      <c r="F5" s="2" t="str" cm="1">
        <f t="array" ref="F5">_xlfn.SWITCH(D5,"DINE-IN","2000","TAKEAWAY","1000")</f>
        <v>2000</v>
      </c>
      <c r="G5" s="2">
        <f t="shared" si="0"/>
        <v>6000</v>
      </c>
    </row>
    <row r="6" spans="1:16" x14ac:dyDescent="0.3">
      <c r="A6" s="2" t="s">
        <v>256</v>
      </c>
      <c r="B6" s="2" t="s">
        <v>263</v>
      </c>
      <c r="C6" s="2" t="str" cm="1">
        <f t="array" ref="C6">_xlfn.SWITCH(A6,"F01","Biryani","F02","Puri","F03","Mutton Biryani","F04","Mutton Soup","F05","Veg Biryani","F06","Panner Biryani","F07","Mushroom Biryani")</f>
        <v>Veg Biryani</v>
      </c>
      <c r="D6" s="2" t="s">
        <v>264</v>
      </c>
      <c r="E6" s="2">
        <v>1</v>
      </c>
      <c r="F6" s="2" t="str" cm="1">
        <f t="array" ref="F6">_xlfn.SWITCH(D6,"DINE-IN","2000","TAKEAWAY","1000")</f>
        <v>1000</v>
      </c>
      <c r="G6" s="2">
        <f t="shared" si="0"/>
        <v>1000</v>
      </c>
      <c r="J6" s="43" t="s">
        <v>402</v>
      </c>
      <c r="K6" s="43"/>
      <c r="L6" s="43"/>
      <c r="M6" s="43"/>
    </row>
    <row r="7" spans="1:16" x14ac:dyDescent="0.3">
      <c r="A7" s="2" t="s">
        <v>257</v>
      </c>
      <c r="B7" s="2" t="s">
        <v>263</v>
      </c>
      <c r="C7" s="2" t="str" cm="1">
        <f t="array" ref="C7">_xlfn.SWITCH(A7,"F01","Biryani","F02","Puri","F03","Mutton Biryani","F04","Mutton Soup","F05","Veg Biryani","F06","Panner Biryani","F07","Mushroom Biryani")</f>
        <v>Panner Biryani</v>
      </c>
      <c r="D7" s="2" t="s">
        <v>262</v>
      </c>
      <c r="E7" s="2">
        <v>2</v>
      </c>
      <c r="F7" s="2" t="str" cm="1">
        <f t="array" ref="F7">_xlfn.SWITCH(D7,"DINE-IN","2000","TAKEAWAY","1000")</f>
        <v>2000</v>
      </c>
      <c r="G7" s="2">
        <f t="shared" si="0"/>
        <v>4000</v>
      </c>
      <c r="J7" s="35" t="s">
        <v>32</v>
      </c>
      <c r="K7" s="35" t="s">
        <v>259</v>
      </c>
      <c r="L7" s="35" t="s">
        <v>33</v>
      </c>
      <c r="M7" s="35" t="s">
        <v>36</v>
      </c>
    </row>
    <row r="8" spans="1:16" x14ac:dyDescent="0.3">
      <c r="A8" s="2" t="s">
        <v>258</v>
      </c>
      <c r="B8" s="2" t="s">
        <v>263</v>
      </c>
      <c r="C8" s="2" t="str" cm="1">
        <f t="array" ref="C8">_xlfn.SWITCH(A8,"F01","Biryani","F02","Puri","F03","Mutton Biryani","F04","Mutton Soup","F05","Veg Biryani","F06","Panner Biryani","F07","Mushroom Biryani")</f>
        <v>Mushroom Biryani</v>
      </c>
      <c r="D8" s="2" t="s">
        <v>264</v>
      </c>
      <c r="E8" s="2">
        <v>2</v>
      </c>
      <c r="F8" s="2" t="str" cm="1">
        <f t="array" ref="F8">_xlfn.SWITCH(D8,"DINE-IN","2000","TAKEAWAY","1000")</f>
        <v>1000</v>
      </c>
      <c r="G8" s="2">
        <f t="shared" si="0"/>
        <v>2000</v>
      </c>
      <c r="J8" s="36" t="s">
        <v>252</v>
      </c>
      <c r="K8" s="36" t="str" cm="1">
        <f t="array" ref="K8:M8">VLOOKUP(J8,A1:G51,{2,3,7},0)</f>
        <v>Non-Veg</v>
      </c>
      <c r="L8" s="36" t="str">
        <v>Biryani</v>
      </c>
      <c r="M8" s="36">
        <v>2000</v>
      </c>
    </row>
    <row r="9" spans="1:16" x14ac:dyDescent="0.3">
      <c r="A9" s="2" t="s">
        <v>254</v>
      </c>
      <c r="B9" s="2" t="s">
        <v>260</v>
      </c>
      <c r="C9" s="2" t="str" cm="1">
        <f t="array" ref="C9">_xlfn.SWITCH(A9,"F01","Biryani","F02","Puri","F03","Mutton Biryani","F04","Mutton Soup","F05","Veg Biryani","F06","Panner Biryani","F07","Mushroom Biryani")</f>
        <v>Mutton Biryani</v>
      </c>
      <c r="D9" s="2" t="s">
        <v>264</v>
      </c>
      <c r="E9" s="2">
        <v>4</v>
      </c>
      <c r="F9" s="2" t="str" cm="1">
        <f t="array" ref="F9">_xlfn.SWITCH(D9,"DINE-IN","2000","TAKEAWAY","1000")</f>
        <v>1000</v>
      </c>
      <c r="G9" s="2">
        <f t="shared" si="0"/>
        <v>4000</v>
      </c>
      <c r="J9" s="36" t="s">
        <v>254</v>
      </c>
      <c r="K9" s="36" t="str" cm="1">
        <f t="array" ref="K9:M9">VLOOKUP(J9,A1:G51,{2,3,7},0)</f>
        <v>Non-Veg</v>
      </c>
      <c r="L9" s="36" t="str">
        <v>Mutton Biryani</v>
      </c>
      <c r="M9" s="36">
        <v>4000</v>
      </c>
    </row>
    <row r="10" spans="1:16" x14ac:dyDescent="0.3">
      <c r="A10" s="2" t="s">
        <v>255</v>
      </c>
      <c r="B10" s="2" t="s">
        <v>260</v>
      </c>
      <c r="C10" s="2" t="str" cm="1">
        <f t="array" ref="C10">_xlfn.SWITCH(A10,"F01","Biryani","F02","Puri","F03","Mutton Biryani","F04","Mutton Soup","F05","Veg Biryani","F06","Panner Biryani","F07","Mushroom Biryani")</f>
        <v>Mutton Soup</v>
      </c>
      <c r="D10" s="2" t="s">
        <v>262</v>
      </c>
      <c r="E10" s="2">
        <v>2</v>
      </c>
      <c r="F10" s="2" t="str" cm="1">
        <f t="array" ref="F10">_xlfn.SWITCH(D10,"DINE-IN","2000","TAKEAWAY","1000")</f>
        <v>2000</v>
      </c>
      <c r="G10" s="2">
        <f t="shared" si="0"/>
        <v>4000</v>
      </c>
    </row>
    <row r="11" spans="1:16" x14ac:dyDescent="0.3">
      <c r="A11" s="2" t="s">
        <v>256</v>
      </c>
      <c r="B11" s="2" t="s">
        <v>263</v>
      </c>
      <c r="C11" s="2" t="str" cm="1">
        <f t="array" ref="C11">_xlfn.SWITCH(A11,"F01","Biryani","F02","Puri","F03","Mutton Biryani","F04","Mutton Soup","F05","Veg Biryani","F06","Panner Biryani","F07","Mushroom Biryani")</f>
        <v>Veg Biryani</v>
      </c>
      <c r="D11" s="2" t="s">
        <v>264</v>
      </c>
      <c r="E11" s="2">
        <v>1</v>
      </c>
      <c r="F11" s="2" t="str" cm="1">
        <f t="array" ref="F11">_xlfn.SWITCH(D11,"DINE-IN","2000","TAKEAWAY","1000")</f>
        <v>1000</v>
      </c>
      <c r="G11" s="2">
        <f t="shared" si="0"/>
        <v>1000</v>
      </c>
    </row>
    <row r="12" spans="1:16" x14ac:dyDescent="0.3">
      <c r="A12" s="2" t="s">
        <v>257</v>
      </c>
      <c r="B12" s="2" t="s">
        <v>263</v>
      </c>
      <c r="C12" s="2" t="str" cm="1">
        <f t="array" ref="C12">_xlfn.SWITCH(A12,"F01","Biryani","F02","Puri","F03","Mutton Biryani","F04","Mutton Soup","F05","Veg Biryani","F06","Panner Biryani","F07","Mushroom Biryani")</f>
        <v>Panner Biryani</v>
      </c>
      <c r="D12" s="2" t="s">
        <v>262</v>
      </c>
      <c r="E12" s="2">
        <v>2</v>
      </c>
      <c r="F12" s="2" t="str" cm="1">
        <f t="array" ref="F12">_xlfn.SWITCH(D12,"DINE-IN","2000","TAKEAWAY","1000")</f>
        <v>2000</v>
      </c>
      <c r="G12" s="2">
        <f t="shared" si="0"/>
        <v>4000</v>
      </c>
    </row>
    <row r="13" spans="1:16" x14ac:dyDescent="0.3">
      <c r="A13" s="2" t="s">
        <v>258</v>
      </c>
      <c r="B13" s="2" t="s">
        <v>263</v>
      </c>
      <c r="C13" s="2" t="str" cm="1">
        <f t="array" ref="C13">_xlfn.SWITCH(A13,"F01","Biryani","F02","Puri","F03","Mutton Biryani","F04","Mutton Soup","F05","Veg Biryani","F06","Panner Biryani","F07","Mushroom Biryani")</f>
        <v>Mushroom Biryani</v>
      </c>
      <c r="D13" s="2" t="s">
        <v>264</v>
      </c>
      <c r="E13" s="2">
        <v>1</v>
      </c>
      <c r="F13" s="2" t="str" cm="1">
        <f t="array" ref="F13">_xlfn.SWITCH(D13,"DINE-IN","2000","TAKEAWAY","1000")</f>
        <v>1000</v>
      </c>
      <c r="G13" s="2">
        <f t="shared" si="0"/>
        <v>1000</v>
      </c>
    </row>
    <row r="14" spans="1:16" x14ac:dyDescent="0.3">
      <c r="A14" s="2" t="s">
        <v>252</v>
      </c>
      <c r="B14" s="2" t="s">
        <v>260</v>
      </c>
      <c r="C14" s="2" t="str" cm="1">
        <f t="array" ref="C14">_xlfn.SWITCH(A14,"F01","Biryani","F02","Puri","F03","Mutton Biryani","F04","Mutton Soup","F05","Veg Biryani","F06","Panner Biryani","F07","Mushroom Biryani")</f>
        <v>Biryani</v>
      </c>
      <c r="D14" s="2" t="s">
        <v>262</v>
      </c>
      <c r="E14" s="2">
        <v>2</v>
      </c>
      <c r="F14" s="2" t="str" cm="1">
        <f t="array" ref="F14">_xlfn.SWITCH(D14,"DINE-IN","2000","TAKEAWAY","1000")</f>
        <v>2000</v>
      </c>
      <c r="G14" s="2">
        <f t="shared" si="0"/>
        <v>4000</v>
      </c>
    </row>
    <row r="15" spans="1:16" x14ac:dyDescent="0.3">
      <c r="A15" s="2" t="s">
        <v>253</v>
      </c>
      <c r="B15" s="2" t="s">
        <v>263</v>
      </c>
      <c r="C15" s="2" t="str" cm="1">
        <f t="array" ref="C15">_xlfn.SWITCH(A15,"F01","Biryani","F02","Puri","F03","Mutton Biryani","F04","Mutton Soup","F05","Veg Biryani","F06","Panner Biryani","F07","Mushroom Biryani")</f>
        <v>Puri</v>
      </c>
      <c r="D15" s="2" t="s">
        <v>262</v>
      </c>
      <c r="E15" s="2">
        <v>1</v>
      </c>
      <c r="F15" s="2" t="str" cm="1">
        <f t="array" ref="F15">_xlfn.SWITCH(D15,"DINE-IN","2000","TAKEAWAY","1000")</f>
        <v>2000</v>
      </c>
      <c r="G15" s="2">
        <f t="shared" si="0"/>
        <v>2000</v>
      </c>
      <c r="J15" s="43" t="s">
        <v>402</v>
      </c>
      <c r="K15" s="43"/>
      <c r="L15" s="43"/>
      <c r="M15" s="43"/>
      <c r="N15" s="43"/>
      <c r="O15" s="43"/>
      <c r="P15" s="43"/>
    </row>
    <row r="16" spans="1:16" x14ac:dyDescent="0.3">
      <c r="A16" s="2" t="s">
        <v>254</v>
      </c>
      <c r="B16" s="2" t="s">
        <v>260</v>
      </c>
      <c r="C16" s="2" t="str" cm="1">
        <f t="array" ref="C16">_xlfn.SWITCH(A16,"F01","Biryani","F02","Puri","F03","Mutton Biryani","F04","Mutton Soup","F05","Veg Biryani","F06","Panner Biryani","F07","Mushroom Biryani")</f>
        <v>Mutton Biryani</v>
      </c>
      <c r="D16" s="2" t="s">
        <v>264</v>
      </c>
      <c r="E16" s="2">
        <v>2</v>
      </c>
      <c r="F16" s="2" t="str" cm="1">
        <f t="array" ref="F16">_xlfn.SWITCH(D16,"DINE-IN","2000","TAKEAWAY","1000")</f>
        <v>1000</v>
      </c>
      <c r="G16" s="2">
        <f t="shared" si="0"/>
        <v>2000</v>
      </c>
      <c r="J16" s="35" t="s">
        <v>32</v>
      </c>
      <c r="K16" s="35" t="s">
        <v>259</v>
      </c>
      <c r="L16" s="35" t="s">
        <v>33</v>
      </c>
      <c r="M16" s="35" t="s">
        <v>261</v>
      </c>
      <c r="N16" s="35" t="s">
        <v>34</v>
      </c>
      <c r="O16" s="35" t="s">
        <v>35</v>
      </c>
      <c r="P16" s="35" t="s">
        <v>36</v>
      </c>
    </row>
    <row r="17" spans="1:16" x14ac:dyDescent="0.3">
      <c r="A17" s="2" t="s">
        <v>255</v>
      </c>
      <c r="B17" s="2" t="s">
        <v>260</v>
      </c>
      <c r="C17" s="2" t="str" cm="1">
        <f t="array" ref="C17">_xlfn.SWITCH(A17,"F01","Biryani","F02","Puri","F03","Mutton Biryani","F04","Mutton Soup","F05","Veg Biryani","F06","Panner Biryani","F07","Mushroom Biryani")</f>
        <v>Mutton Soup</v>
      </c>
      <c r="D17" s="2" t="s">
        <v>262</v>
      </c>
      <c r="E17" s="2">
        <v>2</v>
      </c>
      <c r="F17" s="2" t="str" cm="1">
        <f t="array" ref="F17">_xlfn.SWITCH(D17,"DINE-IN","2000","TAKEAWAY","1000")</f>
        <v>2000</v>
      </c>
      <c r="G17" s="2">
        <f t="shared" si="0"/>
        <v>4000</v>
      </c>
      <c r="J17" s="36" t="s">
        <v>253</v>
      </c>
      <c r="K17" s="36" t="str" cm="1">
        <f t="array" ref="K17:P17">_xlfn.XLOOKUP(J17,A1:A51,B1:G51)</f>
        <v>Veg</v>
      </c>
      <c r="L17" s="36" t="str">
        <v>Puri</v>
      </c>
      <c r="M17" s="36" t="str">
        <v>Takeaway</v>
      </c>
      <c r="N17" s="36">
        <v>2</v>
      </c>
      <c r="O17" s="36" t="str">
        <v>1000</v>
      </c>
      <c r="P17" s="36">
        <v>2000</v>
      </c>
    </row>
    <row r="18" spans="1:16" x14ac:dyDescent="0.3">
      <c r="A18" s="2" t="s">
        <v>256</v>
      </c>
      <c r="B18" s="2" t="s">
        <v>263</v>
      </c>
      <c r="C18" s="2" t="str" cm="1">
        <f t="array" ref="C18">_xlfn.SWITCH(A18,"F01","Biryani","F02","Puri","F03","Mutton Biryani","F04","Mutton Soup","F05","Veg Biryani","F06","Panner Biryani","F07","Mushroom Biryani")</f>
        <v>Veg Biryani</v>
      </c>
      <c r="D18" s="2" t="s">
        <v>264</v>
      </c>
      <c r="E18" s="2">
        <v>3</v>
      </c>
      <c r="F18" s="2" t="str" cm="1">
        <f t="array" ref="F18">_xlfn.SWITCH(D18,"DINE-IN","2000","TAKEAWAY","1000")</f>
        <v>1000</v>
      </c>
      <c r="G18" s="2">
        <f t="shared" si="0"/>
        <v>3000</v>
      </c>
      <c r="J18" s="36" t="s">
        <v>255</v>
      </c>
      <c r="K18" s="36" t="str" cm="1">
        <f t="array" ref="K18:P18">_xlfn.XLOOKUP(J18,A1:A51,B1:G51)</f>
        <v>Non-Veg</v>
      </c>
      <c r="L18" s="36" t="str">
        <v>Mutton Soup</v>
      </c>
      <c r="M18" s="36" t="str">
        <v>Dine-in</v>
      </c>
      <c r="N18" s="36">
        <v>3</v>
      </c>
      <c r="O18" s="36" t="str">
        <v>2000</v>
      </c>
      <c r="P18" s="36">
        <v>6000</v>
      </c>
    </row>
    <row r="19" spans="1:16" x14ac:dyDescent="0.3">
      <c r="A19" s="2" t="s">
        <v>257</v>
      </c>
      <c r="B19" s="2" t="s">
        <v>263</v>
      </c>
      <c r="C19" s="2" t="str" cm="1">
        <f t="array" ref="C19">_xlfn.SWITCH(A19,"F01","Biryani","F02","Puri","F03","Mutton Biryani","F04","Mutton Soup","F05","Veg Biryani","F06","Panner Biryani","F07","Mushroom Biryani")</f>
        <v>Panner Biryani</v>
      </c>
      <c r="D19" s="2" t="s">
        <v>264</v>
      </c>
      <c r="E19" s="2">
        <v>1</v>
      </c>
      <c r="F19" s="2" t="str" cm="1">
        <f t="array" ref="F19">_xlfn.SWITCH(D19,"DINE-IN","2000","TAKEAWAY","1000")</f>
        <v>1000</v>
      </c>
      <c r="G19" s="2">
        <f t="shared" si="0"/>
        <v>1000</v>
      </c>
    </row>
    <row r="20" spans="1:16" x14ac:dyDescent="0.3">
      <c r="A20" s="2" t="s">
        <v>258</v>
      </c>
      <c r="B20" s="2" t="s">
        <v>263</v>
      </c>
      <c r="C20" s="2" t="str" cm="1">
        <f t="array" ref="C20">_xlfn.SWITCH(A20,"F01","Biryani","F02","Puri","F03","Mutton Biryani","F04","Mutton Soup","F05","Veg Biryani","F06","Panner Biryani","F07","Mushroom Biryani")</f>
        <v>Mushroom Biryani</v>
      </c>
      <c r="D20" s="2" t="s">
        <v>262</v>
      </c>
      <c r="E20" s="2">
        <v>2</v>
      </c>
      <c r="F20" s="2" t="str" cm="1">
        <f t="array" ref="F20">_xlfn.SWITCH(D20,"DINE-IN","2000","TAKEAWAY","1000")</f>
        <v>2000</v>
      </c>
      <c r="G20" s="2">
        <f t="shared" si="0"/>
        <v>4000</v>
      </c>
    </row>
    <row r="21" spans="1:16" x14ac:dyDescent="0.3">
      <c r="A21" s="2" t="s">
        <v>256</v>
      </c>
      <c r="B21" s="2" t="s">
        <v>263</v>
      </c>
      <c r="C21" s="2" t="str" cm="1">
        <f t="array" ref="C21">_xlfn.SWITCH(A21,"F01","Biryani","F02","Puri","F03","Mutton Biryani","F04","Mutton Soup","F05","Veg Biryani","F06","Panner Biryani","F07","Mushroom Biryani")</f>
        <v>Veg Biryani</v>
      </c>
      <c r="D21" s="2" t="s">
        <v>264</v>
      </c>
      <c r="E21" s="2">
        <v>3</v>
      </c>
      <c r="F21" s="2" t="str" cm="1">
        <f t="array" ref="F21">_xlfn.SWITCH(D21,"DINE-IN","2000","TAKEAWAY","1000")</f>
        <v>1000</v>
      </c>
      <c r="G21" s="2">
        <f t="shared" si="0"/>
        <v>3000</v>
      </c>
    </row>
    <row r="22" spans="1:16" x14ac:dyDescent="0.3">
      <c r="A22" s="2" t="s">
        <v>257</v>
      </c>
      <c r="B22" s="2" t="s">
        <v>263</v>
      </c>
      <c r="C22" s="2" t="str" cm="1">
        <f t="array" ref="C22">_xlfn.SWITCH(A22,"F01","Biryani","F02","Puri","F03","Mutton Biryani","F04","Mutton Soup","F05","Veg Biryani","F06","Panner Biryani","F07","Mushroom Biryani")</f>
        <v>Panner Biryani</v>
      </c>
      <c r="D22" s="2" t="s">
        <v>262</v>
      </c>
      <c r="E22" s="2">
        <v>1</v>
      </c>
      <c r="F22" s="2" t="str" cm="1">
        <f t="array" ref="F22">_xlfn.SWITCH(D22,"DINE-IN","2000","TAKEAWAY","1000")</f>
        <v>2000</v>
      </c>
      <c r="G22" s="2">
        <f t="shared" si="0"/>
        <v>2000</v>
      </c>
    </row>
    <row r="23" spans="1:16" x14ac:dyDescent="0.3">
      <c r="A23" s="2" t="s">
        <v>258</v>
      </c>
      <c r="B23" s="2" t="s">
        <v>263</v>
      </c>
      <c r="C23" s="2" t="str" cm="1">
        <f t="array" ref="C23">_xlfn.SWITCH(A23,"F01","Biryani","F02","Puri","F03","Mutton Biryani","F04","Mutton Soup","F05","Veg Biryani","F06","Panner Biryani","F07","Mushroom Biryani")</f>
        <v>Mushroom Biryani</v>
      </c>
      <c r="D23" s="2" t="s">
        <v>264</v>
      </c>
      <c r="E23" s="2">
        <v>1</v>
      </c>
      <c r="F23" s="2" t="str" cm="1">
        <f t="array" ref="F23">_xlfn.SWITCH(D23,"DINE-IN","2000","TAKEAWAY","1000")</f>
        <v>1000</v>
      </c>
      <c r="G23" s="2">
        <f t="shared" si="0"/>
        <v>1000</v>
      </c>
    </row>
    <row r="24" spans="1:16" x14ac:dyDescent="0.3">
      <c r="A24" s="2" t="s">
        <v>252</v>
      </c>
      <c r="B24" s="2" t="s">
        <v>260</v>
      </c>
      <c r="C24" s="2" t="str" cm="1">
        <f t="array" ref="C24">_xlfn.SWITCH(A24,"F01","Biryani","F02","Puri","F03","Mutton Biryani","F04","Mutton Soup","F05","Veg Biryani","F06","Panner Biryani","F07","Mushroom Biryani")</f>
        <v>Biryani</v>
      </c>
      <c r="D24" s="2" t="s">
        <v>262</v>
      </c>
      <c r="E24" s="2">
        <v>3</v>
      </c>
      <c r="F24" s="2" t="str" cm="1">
        <f t="array" ref="F24">_xlfn.SWITCH(D24,"DINE-IN","2000","TAKEAWAY","1000")</f>
        <v>2000</v>
      </c>
      <c r="G24" s="2">
        <f t="shared" si="0"/>
        <v>6000</v>
      </c>
    </row>
    <row r="25" spans="1:16" x14ac:dyDescent="0.3">
      <c r="A25" s="2" t="s">
        <v>253</v>
      </c>
      <c r="B25" s="2" t="s">
        <v>263</v>
      </c>
      <c r="C25" s="2" t="str" cm="1">
        <f t="array" ref="C25">_xlfn.SWITCH(A25,"F01","Biryani","F02","Puri","F03","Mutton Biryani","F04","Mutton Soup","F05","Veg Biryani","F06","Panner Biryani","F07","Mushroom Biryani")</f>
        <v>Puri</v>
      </c>
      <c r="D25" s="2" t="s">
        <v>262</v>
      </c>
      <c r="E25" s="2">
        <v>2</v>
      </c>
      <c r="F25" s="2" t="str" cm="1">
        <f t="array" ref="F25">_xlfn.SWITCH(D25,"DINE-IN","2000","TAKEAWAY","1000")</f>
        <v>2000</v>
      </c>
      <c r="G25" s="2">
        <f t="shared" si="0"/>
        <v>4000</v>
      </c>
    </row>
    <row r="26" spans="1:16" x14ac:dyDescent="0.3">
      <c r="A26" s="2" t="s">
        <v>254</v>
      </c>
      <c r="B26" s="2" t="s">
        <v>260</v>
      </c>
      <c r="C26" s="2" t="str" cm="1">
        <f t="array" ref="C26">_xlfn.SWITCH(A26,"F01","Biryani","F02","Puri","F03","Mutton Biryani","F04","Mutton Soup","F05","Veg Biryani","F06","Panner Biryani","F07","Mushroom Biryani")</f>
        <v>Mutton Biryani</v>
      </c>
      <c r="D26" s="2" t="s">
        <v>264</v>
      </c>
      <c r="E26" s="2">
        <v>3</v>
      </c>
      <c r="F26" s="2" t="str" cm="1">
        <f t="array" ref="F26">_xlfn.SWITCH(D26,"DINE-IN","2000","TAKEAWAY","1000")</f>
        <v>1000</v>
      </c>
      <c r="G26" s="2">
        <f t="shared" si="0"/>
        <v>3000</v>
      </c>
    </row>
    <row r="27" spans="1:16" x14ac:dyDescent="0.3">
      <c r="A27" s="2" t="s">
        <v>255</v>
      </c>
      <c r="B27" s="2" t="s">
        <v>260</v>
      </c>
      <c r="C27" s="2" t="str" cm="1">
        <f t="array" ref="C27">_xlfn.SWITCH(A27,"F01","Biryani","F02","Puri","F03","Mutton Biryani","F04","Mutton Soup","F05","Veg Biryani","F06","Panner Biryani","F07","Mushroom Biryani")</f>
        <v>Mutton Soup</v>
      </c>
      <c r="D27" s="2" t="s">
        <v>262</v>
      </c>
      <c r="E27" s="2">
        <v>1</v>
      </c>
      <c r="F27" s="2" t="str" cm="1">
        <f t="array" ref="F27">_xlfn.SWITCH(D27,"DINE-IN","2000","TAKEAWAY","1000")</f>
        <v>2000</v>
      </c>
      <c r="G27" s="2">
        <f t="shared" si="0"/>
        <v>2000</v>
      </c>
    </row>
    <row r="28" spans="1:16" x14ac:dyDescent="0.3">
      <c r="A28" s="2" t="s">
        <v>256</v>
      </c>
      <c r="B28" s="2" t="s">
        <v>263</v>
      </c>
      <c r="C28" s="2" t="str" cm="1">
        <f t="array" ref="C28">_xlfn.SWITCH(A28,"F01","Biryani","F02","Puri","F03","Mutton Biryani","F04","Mutton Soup","F05","Veg Biryani","F06","Panner Biryani","F07","Mushroom Biryani")</f>
        <v>Veg Biryani</v>
      </c>
      <c r="D28" s="2" t="s">
        <v>264</v>
      </c>
      <c r="E28" s="2">
        <v>4</v>
      </c>
      <c r="F28" s="2" t="str" cm="1">
        <f t="array" ref="F28">_xlfn.SWITCH(D28,"DINE-IN","2000","TAKEAWAY","1000")</f>
        <v>1000</v>
      </c>
      <c r="G28" s="2">
        <f t="shared" si="0"/>
        <v>4000</v>
      </c>
    </row>
    <row r="29" spans="1:16" x14ac:dyDescent="0.3">
      <c r="A29" s="2" t="s">
        <v>257</v>
      </c>
      <c r="B29" s="2" t="s">
        <v>263</v>
      </c>
      <c r="C29" s="2" t="str" cm="1">
        <f t="array" ref="C29">_xlfn.SWITCH(A29,"F01","Biryani","F02","Puri","F03","Mutton Biryani","F04","Mutton Soup","F05","Veg Biryani","F06","Panner Biryani","F07","Mushroom Biryani")</f>
        <v>Panner Biryani</v>
      </c>
      <c r="D29" s="2" t="s">
        <v>264</v>
      </c>
      <c r="E29" s="2">
        <v>4</v>
      </c>
      <c r="F29" s="2" t="str" cm="1">
        <f t="array" ref="F29">_xlfn.SWITCH(D29,"DINE-IN","2000","TAKEAWAY","1000")</f>
        <v>1000</v>
      </c>
      <c r="G29" s="2">
        <f t="shared" si="0"/>
        <v>4000</v>
      </c>
    </row>
    <row r="30" spans="1:16" x14ac:dyDescent="0.3">
      <c r="A30" s="2" t="s">
        <v>258</v>
      </c>
      <c r="B30" s="2" t="s">
        <v>263</v>
      </c>
      <c r="C30" s="2" t="str" cm="1">
        <f t="array" ref="C30">_xlfn.SWITCH(A30,"F01","Biryani","F02","Puri","F03","Mutton Biryani","F04","Mutton Soup","F05","Veg Biryani","F06","Panner Biryani","F07","Mushroom Biryani")</f>
        <v>Mushroom Biryani</v>
      </c>
      <c r="D30" s="2" t="s">
        <v>262</v>
      </c>
      <c r="E30" s="2">
        <v>3</v>
      </c>
      <c r="F30" s="2" t="str" cm="1">
        <f t="array" ref="F30">_xlfn.SWITCH(D30,"DINE-IN","2000","TAKEAWAY","1000")</f>
        <v>2000</v>
      </c>
      <c r="G30" s="2">
        <f t="shared" si="0"/>
        <v>6000</v>
      </c>
    </row>
    <row r="31" spans="1:16" x14ac:dyDescent="0.3">
      <c r="A31" s="2" t="s">
        <v>256</v>
      </c>
      <c r="B31" s="2" t="s">
        <v>263</v>
      </c>
      <c r="C31" s="2" t="str" cm="1">
        <f t="array" ref="C31">_xlfn.SWITCH(A31,"F01","Biryani","F02","Puri","F03","Mutton Biryani","F04","Mutton Soup","F05","Veg Biryani","F06","Panner Biryani","F07","Mushroom Biryani")</f>
        <v>Veg Biryani</v>
      </c>
      <c r="D31" s="2" t="s">
        <v>264</v>
      </c>
      <c r="E31" s="2">
        <v>2</v>
      </c>
      <c r="F31" s="2" t="str" cm="1">
        <f t="array" ref="F31">_xlfn.SWITCH(D31,"DINE-IN","2000","TAKEAWAY","1000")</f>
        <v>1000</v>
      </c>
      <c r="G31" s="2">
        <f t="shared" si="0"/>
        <v>2000</v>
      </c>
    </row>
    <row r="32" spans="1:16" x14ac:dyDescent="0.3">
      <c r="A32" s="2" t="s">
        <v>257</v>
      </c>
      <c r="B32" s="2" t="s">
        <v>263</v>
      </c>
      <c r="C32" s="2" t="str" cm="1">
        <f t="array" ref="C32">_xlfn.SWITCH(A32,"F01","Biryani","F02","Puri","F03","Mutton Biryani","F04","Mutton Soup","F05","Veg Biryani","F06","Panner Biryani","F07","Mushroom Biryani")</f>
        <v>Panner Biryani</v>
      </c>
      <c r="D32" s="2" t="s">
        <v>262</v>
      </c>
      <c r="E32" s="2">
        <v>4</v>
      </c>
      <c r="F32" s="2" t="str" cm="1">
        <f t="array" ref="F32">_xlfn.SWITCH(D32,"DINE-IN","2000","TAKEAWAY","1000")</f>
        <v>2000</v>
      </c>
      <c r="G32" s="2">
        <f t="shared" si="0"/>
        <v>8000</v>
      </c>
    </row>
    <row r="33" spans="1:7" x14ac:dyDescent="0.3">
      <c r="A33" s="2" t="s">
        <v>258</v>
      </c>
      <c r="B33" s="2" t="s">
        <v>263</v>
      </c>
      <c r="C33" s="2" t="str" cm="1">
        <f t="array" ref="C33">_xlfn.SWITCH(A33,"F01","Biryani","F02","Puri","F03","Mutton Biryani","F04","Mutton Soup","F05","Veg Biryani","F06","Panner Biryani","F07","Mushroom Biryani")</f>
        <v>Mushroom Biryani</v>
      </c>
      <c r="D33" s="2" t="s">
        <v>264</v>
      </c>
      <c r="E33" s="2">
        <v>1</v>
      </c>
      <c r="F33" s="2" t="str" cm="1">
        <f t="array" ref="F33">_xlfn.SWITCH(D33,"DINE-IN","2000","TAKEAWAY","1000")</f>
        <v>1000</v>
      </c>
      <c r="G33" s="2">
        <f t="shared" si="0"/>
        <v>1000</v>
      </c>
    </row>
    <row r="34" spans="1:7" x14ac:dyDescent="0.3">
      <c r="A34" s="2" t="s">
        <v>252</v>
      </c>
      <c r="B34" s="2" t="s">
        <v>260</v>
      </c>
      <c r="C34" s="2" t="str" cm="1">
        <f t="array" ref="C34">_xlfn.SWITCH(A34,"F01","Biryani","F02","Puri","F03","Mutton Biryani","F04","Mutton Soup","F05","Veg Biryani","F06","Panner Biryani","F07","Mushroom Biryani")</f>
        <v>Biryani</v>
      </c>
      <c r="D34" s="2" t="s">
        <v>262</v>
      </c>
      <c r="E34" s="2">
        <v>3</v>
      </c>
      <c r="F34" s="2" t="str" cm="1">
        <f t="array" ref="F34">_xlfn.SWITCH(D34,"DINE-IN","2000","TAKEAWAY","1000")</f>
        <v>2000</v>
      </c>
      <c r="G34" s="2">
        <f t="shared" si="0"/>
        <v>6000</v>
      </c>
    </row>
    <row r="35" spans="1:7" x14ac:dyDescent="0.3">
      <c r="A35" s="2" t="s">
        <v>253</v>
      </c>
      <c r="B35" s="2" t="s">
        <v>263</v>
      </c>
      <c r="C35" s="2" t="str" cm="1">
        <f t="array" ref="C35">_xlfn.SWITCH(A35,"F01","Biryani","F02","Puri","F03","Mutton Biryani","F04","Mutton Soup","F05","Veg Biryani","F06","Panner Biryani","F07","Mushroom Biryani")</f>
        <v>Puri</v>
      </c>
      <c r="D35" s="2" t="s">
        <v>262</v>
      </c>
      <c r="E35" s="2">
        <v>2</v>
      </c>
      <c r="F35" s="2" t="str" cm="1">
        <f t="array" ref="F35">_xlfn.SWITCH(D35,"DINE-IN","2000","TAKEAWAY","1000")</f>
        <v>2000</v>
      </c>
      <c r="G35" s="2">
        <f t="shared" si="0"/>
        <v>4000</v>
      </c>
    </row>
    <row r="36" spans="1:7" x14ac:dyDescent="0.3">
      <c r="A36" s="2" t="s">
        <v>256</v>
      </c>
      <c r="B36" s="2" t="s">
        <v>263</v>
      </c>
      <c r="C36" s="2" t="str" cm="1">
        <f t="array" ref="C36">_xlfn.SWITCH(A36,"F01","Biryani","F02","Puri","F03","Mutton Biryani","F04","Mutton Soup","F05","Veg Biryani","F06","Panner Biryani","F07","Mushroom Biryani")</f>
        <v>Veg Biryani</v>
      </c>
      <c r="D36" s="2" t="s">
        <v>264</v>
      </c>
      <c r="E36" s="2">
        <v>4</v>
      </c>
      <c r="F36" s="2" t="str" cm="1">
        <f t="array" ref="F36">_xlfn.SWITCH(D36,"DINE-IN","2000","TAKEAWAY","1000")</f>
        <v>1000</v>
      </c>
      <c r="G36" s="2">
        <f t="shared" si="0"/>
        <v>4000</v>
      </c>
    </row>
    <row r="37" spans="1:7" x14ac:dyDescent="0.3">
      <c r="A37" s="2" t="s">
        <v>257</v>
      </c>
      <c r="B37" s="2" t="s">
        <v>263</v>
      </c>
      <c r="C37" s="2" t="str" cm="1">
        <f t="array" ref="C37">_xlfn.SWITCH(A37,"F01","Biryani","F02","Puri","F03","Mutton Biryani","F04","Mutton Soup","F05","Veg Biryani","F06","Panner Biryani","F07","Mushroom Biryani")</f>
        <v>Panner Biryani</v>
      </c>
      <c r="D37" s="2" t="s">
        <v>262</v>
      </c>
      <c r="E37" s="2">
        <v>2</v>
      </c>
      <c r="F37" s="2" t="str" cm="1">
        <f t="array" ref="F37">_xlfn.SWITCH(D37,"DINE-IN","2000","TAKEAWAY","1000")</f>
        <v>2000</v>
      </c>
      <c r="G37" s="2">
        <f t="shared" si="0"/>
        <v>4000</v>
      </c>
    </row>
    <row r="38" spans="1:7" x14ac:dyDescent="0.3">
      <c r="A38" s="2" t="s">
        <v>258</v>
      </c>
      <c r="B38" s="2" t="s">
        <v>263</v>
      </c>
      <c r="C38" s="2" t="str" cm="1">
        <f t="array" ref="C38">_xlfn.SWITCH(A38,"F01","Biryani","F02","Puri","F03","Mutton Biryani","F04","Mutton Soup","F05","Veg Biryani","F06","Panner Biryani","F07","Mushroom Biryani")</f>
        <v>Mushroom Biryani</v>
      </c>
      <c r="D38" s="2" t="s">
        <v>264</v>
      </c>
      <c r="E38" s="2">
        <v>4</v>
      </c>
      <c r="F38" s="2" t="str" cm="1">
        <f t="array" ref="F38">_xlfn.SWITCH(D38,"DINE-IN","2000","TAKEAWAY","1000")</f>
        <v>1000</v>
      </c>
      <c r="G38" s="2">
        <f t="shared" si="0"/>
        <v>4000</v>
      </c>
    </row>
    <row r="39" spans="1:7" x14ac:dyDescent="0.3">
      <c r="A39" s="2" t="s">
        <v>254</v>
      </c>
      <c r="B39" s="2" t="s">
        <v>260</v>
      </c>
      <c r="C39" s="2" t="str" cm="1">
        <f t="array" ref="C39">_xlfn.SWITCH(A39,"F01","Biryani","F02","Puri","F03","Mutton Biryani","F04","Mutton Soup","F05","Veg Biryani","F06","Panner Biryani","F07","Mushroom Biryani")</f>
        <v>Mutton Biryani</v>
      </c>
      <c r="D39" s="2" t="s">
        <v>264</v>
      </c>
      <c r="E39" s="2">
        <v>3</v>
      </c>
      <c r="F39" s="2" t="str" cm="1">
        <f t="array" ref="F39">_xlfn.SWITCH(D39,"DINE-IN","2000","TAKEAWAY","1000")</f>
        <v>1000</v>
      </c>
      <c r="G39" s="2">
        <f t="shared" si="0"/>
        <v>3000</v>
      </c>
    </row>
    <row r="40" spans="1:7" x14ac:dyDescent="0.3">
      <c r="A40" s="2" t="s">
        <v>255</v>
      </c>
      <c r="B40" s="2" t="s">
        <v>260</v>
      </c>
      <c r="C40" s="2" t="str" cm="1">
        <f t="array" ref="C40">_xlfn.SWITCH(A40,"F01","Biryani","F02","Puri","F03","Mutton Biryani","F04","Mutton Soup","F05","Veg Biryani","F06","Panner Biryani","F07","Mushroom Biryani")</f>
        <v>Mutton Soup</v>
      </c>
      <c r="D40" s="2" t="s">
        <v>262</v>
      </c>
      <c r="E40" s="2">
        <v>1</v>
      </c>
      <c r="F40" s="2" t="str" cm="1">
        <f t="array" ref="F40">_xlfn.SWITCH(D40,"DINE-IN","2000","TAKEAWAY","1000")</f>
        <v>2000</v>
      </c>
      <c r="G40" s="2">
        <f t="shared" si="0"/>
        <v>2000</v>
      </c>
    </row>
    <row r="41" spans="1:7" x14ac:dyDescent="0.3">
      <c r="A41" s="2" t="s">
        <v>252</v>
      </c>
      <c r="B41" s="2" t="s">
        <v>260</v>
      </c>
      <c r="C41" s="2" t="str" cm="1">
        <f t="array" ref="C41">_xlfn.SWITCH(A41,"F01","Biryani","F02","Puri","F03","Mutton Biryani","F04","Mutton Soup","F05","Veg Biryani","F06","Panner Biryani","F07","Mushroom Biryani")</f>
        <v>Biryani</v>
      </c>
      <c r="D41" s="2" t="s">
        <v>264</v>
      </c>
      <c r="E41" s="2">
        <v>4</v>
      </c>
      <c r="F41" s="2" t="str" cm="1">
        <f t="array" ref="F41">_xlfn.SWITCH(D41,"DINE-IN","2000","TAKEAWAY","1000")</f>
        <v>1000</v>
      </c>
      <c r="G41" s="2">
        <f t="shared" si="0"/>
        <v>4000</v>
      </c>
    </row>
    <row r="42" spans="1:7" x14ac:dyDescent="0.3">
      <c r="A42" s="2" t="s">
        <v>252</v>
      </c>
      <c r="B42" s="2" t="s">
        <v>260</v>
      </c>
      <c r="C42" s="2" t="str" cm="1">
        <f t="array" ref="C42">_xlfn.SWITCH(A42,"F01","Biryani","F02","Puri","F03","Mutton Biryani","F04","Mutton Soup","F05","Veg Biryani","F06","Panner Biryani","F07","Mushroom Biryani")</f>
        <v>Biryani</v>
      </c>
      <c r="D42" s="2" t="s">
        <v>262</v>
      </c>
      <c r="E42" s="2">
        <v>2</v>
      </c>
      <c r="F42" s="2" t="str" cm="1">
        <f t="array" ref="F42">_xlfn.SWITCH(D42,"DINE-IN","2000","TAKEAWAY","1000")</f>
        <v>2000</v>
      </c>
      <c r="G42" s="2">
        <f t="shared" si="0"/>
        <v>4000</v>
      </c>
    </row>
    <row r="43" spans="1:7" x14ac:dyDescent="0.3">
      <c r="A43" s="2" t="s">
        <v>258</v>
      </c>
      <c r="B43" s="2" t="s">
        <v>263</v>
      </c>
      <c r="C43" s="2" t="str" cm="1">
        <f t="array" ref="C43">_xlfn.SWITCH(A43,"F01","Biryani","F02","Puri","F03","Mutton Biryani","F04","Mutton Soup","F05","Veg Biryani","F06","Panner Biryani","F07","Mushroom Biryani")</f>
        <v>Mushroom Biryani</v>
      </c>
      <c r="D43" s="2" t="s">
        <v>264</v>
      </c>
      <c r="E43" s="2">
        <v>4</v>
      </c>
      <c r="F43" s="2" t="str" cm="1">
        <f t="array" ref="F43">_xlfn.SWITCH(D43,"DINE-IN","2000","TAKEAWAY","1000")</f>
        <v>1000</v>
      </c>
      <c r="G43" s="2">
        <f t="shared" si="0"/>
        <v>4000</v>
      </c>
    </row>
    <row r="44" spans="1:7" x14ac:dyDescent="0.3">
      <c r="A44" s="2" t="s">
        <v>252</v>
      </c>
      <c r="B44" s="2" t="s">
        <v>260</v>
      </c>
      <c r="C44" s="2" t="str" cm="1">
        <f t="array" ref="C44">_xlfn.SWITCH(A44,"F01","Biryani","F02","Puri","F03","Mutton Biryani","F04","Mutton Soup","F05","Veg Biryani","F06","Panner Biryani","F07","Mushroom Biryani")</f>
        <v>Biryani</v>
      </c>
      <c r="D44" s="2" t="s">
        <v>262</v>
      </c>
      <c r="E44" s="2">
        <v>2</v>
      </c>
      <c r="F44" s="2" t="str" cm="1">
        <f t="array" ref="F44">_xlfn.SWITCH(D44,"DINE-IN","2000","TAKEAWAY","1000")</f>
        <v>2000</v>
      </c>
      <c r="G44" s="2">
        <f t="shared" si="0"/>
        <v>4000</v>
      </c>
    </row>
    <row r="45" spans="1:7" x14ac:dyDescent="0.3">
      <c r="A45" s="2" t="s">
        <v>253</v>
      </c>
      <c r="B45" s="2" t="s">
        <v>263</v>
      </c>
      <c r="C45" s="2" t="str" cm="1">
        <f t="array" ref="C45">_xlfn.SWITCH(A45,"F01","Biryani","F02","Puri","F03","Mutton Biryani","F04","Mutton Soup","F05","Veg Biryani","F06","Panner Biryani","F07","Mushroom Biryani")</f>
        <v>Puri</v>
      </c>
      <c r="D45" s="2" t="s">
        <v>262</v>
      </c>
      <c r="E45" s="2">
        <v>3</v>
      </c>
      <c r="F45" s="2" t="str" cm="1">
        <f t="array" ref="F45">_xlfn.SWITCH(D45,"DINE-IN","2000","TAKEAWAY","1000")</f>
        <v>2000</v>
      </c>
      <c r="G45" s="2">
        <f t="shared" si="0"/>
        <v>6000</v>
      </c>
    </row>
    <row r="46" spans="1:7" x14ac:dyDescent="0.3">
      <c r="A46" s="2" t="s">
        <v>254</v>
      </c>
      <c r="B46" s="2" t="s">
        <v>260</v>
      </c>
      <c r="C46" s="2" t="str" cm="1">
        <f t="array" ref="C46">_xlfn.SWITCH(A46,"F01","Biryani","F02","Puri","F03","Mutton Biryani","F04","Mutton Soup","F05","Veg Biryani","F06","Panner Biryani","F07","Mushroom Biryani")</f>
        <v>Mutton Biryani</v>
      </c>
      <c r="D46" s="2" t="s">
        <v>264</v>
      </c>
      <c r="E46" s="2">
        <v>1</v>
      </c>
      <c r="F46" s="2" t="str" cm="1">
        <f t="array" ref="F46">_xlfn.SWITCH(D46,"DINE-IN","2000","TAKEAWAY","1000")</f>
        <v>1000</v>
      </c>
      <c r="G46" s="2">
        <f t="shared" si="0"/>
        <v>1000</v>
      </c>
    </row>
    <row r="47" spans="1:7" x14ac:dyDescent="0.3">
      <c r="A47" s="2" t="s">
        <v>255</v>
      </c>
      <c r="B47" s="2" t="s">
        <v>260</v>
      </c>
      <c r="C47" s="2" t="str" cm="1">
        <f t="array" ref="C47">_xlfn.SWITCH(A47,"F01","Biryani","F02","Puri","F03","Mutton Biryani","F04","Mutton Soup","F05","Veg Biryani","F06","Panner Biryani","F07","Mushroom Biryani")</f>
        <v>Mutton Soup</v>
      </c>
      <c r="D47" s="2" t="s">
        <v>262</v>
      </c>
      <c r="E47" s="2">
        <v>3</v>
      </c>
      <c r="F47" s="2" t="str" cm="1">
        <f t="array" ref="F47">_xlfn.SWITCH(D47,"DINE-IN","2000","TAKEAWAY","1000")</f>
        <v>2000</v>
      </c>
      <c r="G47" s="2">
        <f t="shared" si="0"/>
        <v>6000</v>
      </c>
    </row>
    <row r="48" spans="1:7" x14ac:dyDescent="0.3">
      <c r="A48" s="2" t="s">
        <v>256</v>
      </c>
      <c r="B48" s="2" t="s">
        <v>263</v>
      </c>
      <c r="C48" s="2" t="str" cm="1">
        <f t="array" ref="C48">_xlfn.SWITCH(A48,"F01","Biryani","F02","Puri","F03","Mutton Biryani","F04","Mutton Soup","F05","Veg Biryani","F06","Panner Biryani","F07","Mushroom Biryani")</f>
        <v>Veg Biryani</v>
      </c>
      <c r="D48" s="2" t="s">
        <v>264</v>
      </c>
      <c r="E48" s="2">
        <v>4</v>
      </c>
      <c r="F48" s="2" t="str" cm="1">
        <f t="array" ref="F48">_xlfn.SWITCH(D48,"DINE-IN","2000","TAKEAWAY","1000")</f>
        <v>1000</v>
      </c>
      <c r="G48" s="2">
        <f t="shared" si="0"/>
        <v>4000</v>
      </c>
    </row>
    <row r="49" spans="1:7" x14ac:dyDescent="0.3">
      <c r="A49" s="2" t="s">
        <v>257</v>
      </c>
      <c r="B49" s="2" t="s">
        <v>263</v>
      </c>
      <c r="C49" s="2" t="str" cm="1">
        <f t="array" ref="C49">_xlfn.SWITCH(A49,"F01","Biryani","F02","Puri","F03","Mutton Biryani","F04","Mutton Soup","F05","Veg Biryani","F06","Panner Biryani","F07","Mushroom Biryani")</f>
        <v>Panner Biryani</v>
      </c>
      <c r="D49" s="2" t="s">
        <v>264</v>
      </c>
      <c r="E49" s="2">
        <v>2</v>
      </c>
      <c r="F49" s="2" t="str" cm="1">
        <f t="array" ref="F49">_xlfn.SWITCH(D49,"DINE-IN","2000","TAKEAWAY","1000")</f>
        <v>1000</v>
      </c>
      <c r="G49" s="2">
        <f t="shared" si="0"/>
        <v>2000</v>
      </c>
    </row>
    <row r="50" spans="1:7" x14ac:dyDescent="0.3">
      <c r="A50" s="2" t="s">
        <v>252</v>
      </c>
      <c r="B50" s="2" t="s">
        <v>260</v>
      </c>
      <c r="C50" s="2" t="str" cm="1">
        <f t="array" ref="C50">_xlfn.SWITCH(A50,"F01","Biryani","F02","Puri","F03","Mutton Biryani","F04","Mutton Soup","F05","Veg Biryani","F06","Panner Biryani","F07","Mushroom Biryani")</f>
        <v>Biryani</v>
      </c>
      <c r="D50" s="2" t="s">
        <v>262</v>
      </c>
      <c r="E50" s="2">
        <v>1</v>
      </c>
      <c r="F50" s="2" t="str" cm="1">
        <f t="array" ref="F50">_xlfn.SWITCH(D50,"DINE-IN","2000","TAKEAWAY","1000")</f>
        <v>2000</v>
      </c>
      <c r="G50" s="2">
        <f t="shared" si="0"/>
        <v>2000</v>
      </c>
    </row>
    <row r="51" spans="1:7" x14ac:dyDescent="0.3">
      <c r="A51" s="2" t="s">
        <v>252</v>
      </c>
      <c r="B51" s="2" t="s">
        <v>260</v>
      </c>
      <c r="C51" s="2" t="str" cm="1">
        <f t="array" ref="C51">_xlfn.SWITCH(A51,"F01","Biryani","F02","Puri","F03","Mutton Biryani","F04","Mutton Soup","F05","Veg Biryani","F06","Panner Biryani","F07","Mushroom Biryani")</f>
        <v>Biryani</v>
      </c>
      <c r="D51" s="2" t="s">
        <v>264</v>
      </c>
      <c r="E51" s="2">
        <v>2</v>
      </c>
      <c r="F51" s="2" t="str" cm="1">
        <f t="array" ref="F51">_xlfn.SWITCH(D51,"DINE-IN","2000","TAKEAWAY","1000")</f>
        <v>1000</v>
      </c>
      <c r="G51" s="2">
        <f t="shared" si="0"/>
        <v>2000</v>
      </c>
    </row>
  </sheetData>
  <mergeCells count="2">
    <mergeCell ref="J6:M6"/>
    <mergeCell ref="J15:P15"/>
  </mergeCells>
  <conditionalFormatting sqref="C2:D2 B2:B51 C3:C51">
    <cfRule type="containsText" dxfId="4" priority="5" operator="containsText" text="Non-veg">
      <formula>NOT(ISERROR(SEARCH("Non-veg",B2)))</formula>
    </cfRule>
  </conditionalFormatting>
  <conditionalFormatting sqref="D12">
    <cfRule type="containsText" dxfId="3" priority="4" operator="containsText" text="Non-veg">
      <formula>NOT(ISERROR(SEARCH("Non-veg",D12)))</formula>
    </cfRule>
  </conditionalFormatting>
  <conditionalFormatting sqref="D22">
    <cfRule type="containsText" dxfId="2" priority="3" operator="containsText" text="Non-veg">
      <formula>NOT(ISERROR(SEARCH("Non-veg",D22)))</formula>
    </cfRule>
  </conditionalFormatting>
  <conditionalFormatting sqref="D32">
    <cfRule type="containsText" dxfId="1" priority="2" operator="containsText" text="Non-veg">
      <formula>NOT(ISERROR(SEARCH("Non-veg",D32)))</formula>
    </cfRule>
  </conditionalFormatting>
  <conditionalFormatting sqref="D42">
    <cfRule type="containsText" dxfId="0" priority="1" operator="containsText" text="Non-veg">
      <formula>NOT(ISERROR(SEARCH("Non-veg",D42)))</formula>
    </cfRule>
  </conditionalFormatting>
  <dataValidations count="3">
    <dataValidation type="list" allowBlank="1" showInputMessage="1" showErrorMessage="1" errorTitle="Message" error="Above list only available" sqref="D2:D51" xr:uid="{8FD747AE-E340-4107-9786-29E6009224A1}">
      <formula1>"Dine-in,Takeaway"</formula1>
    </dataValidation>
    <dataValidation type="list" allowBlank="1" showInputMessage="1" showErrorMessage="1" sqref="B2:B51" xr:uid="{E04189BE-763D-4F77-9470-2335BE0CB83F}">
      <formula1>"Veg,Non-Veg"</formula1>
    </dataValidation>
    <dataValidation type="list" allowBlank="1" showInputMessage="1" showErrorMessage="1" sqref="J8:J9 J17:J18" xr:uid="{2CDC8292-164B-4796-BCB1-440E037BED7C}">
      <formula1>$A$2:$A$51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49EC9-7DAE-487F-9220-3C8A2AA37AFE}">
  <sheetPr>
    <tabColor theme="0" tint="-0.499984740745262"/>
  </sheetPr>
  <dimension ref="A2:R53"/>
  <sheetViews>
    <sheetView showGridLines="0" workbookViewId="0">
      <selection activeCell="J25" sqref="J25"/>
    </sheetView>
  </sheetViews>
  <sheetFormatPr defaultRowHeight="14.4" x14ac:dyDescent="0.3"/>
  <cols>
    <col min="2" max="2" width="10.88671875" bestFit="1" customWidth="1"/>
    <col min="3" max="3" width="8.33203125" bestFit="1" customWidth="1"/>
    <col min="4" max="4" width="7.77734375" bestFit="1" customWidth="1"/>
    <col min="5" max="5" width="14.21875" bestFit="1" customWidth="1"/>
    <col min="6" max="6" width="12.21875" bestFit="1" customWidth="1"/>
    <col min="7" max="7" width="11.5546875" bestFit="1" customWidth="1"/>
    <col min="8" max="8" width="7.6640625" bestFit="1" customWidth="1"/>
    <col min="12" max="12" width="11.21875" bestFit="1" customWidth="1"/>
    <col min="13" max="13" width="8.44140625" bestFit="1" customWidth="1"/>
    <col min="14" max="14" width="7.88671875" bestFit="1" customWidth="1"/>
    <col min="15" max="15" width="14.21875" bestFit="1" customWidth="1"/>
    <col min="16" max="16" width="12.5546875" bestFit="1" customWidth="1"/>
    <col min="17" max="17" width="11.88671875" bestFit="1" customWidth="1"/>
    <col min="18" max="18" width="8.21875" bestFit="1" customWidth="1"/>
  </cols>
  <sheetData>
    <row r="2" spans="1:15" x14ac:dyDescent="0.3">
      <c r="A2" s="4"/>
      <c r="B2" s="42" t="s">
        <v>270</v>
      </c>
      <c r="C2" s="42"/>
      <c r="D2" s="42"/>
      <c r="E2" s="42"/>
      <c r="F2" s="42"/>
      <c r="G2" s="42"/>
      <c r="H2" s="42"/>
    </row>
    <row r="3" spans="1:15" x14ac:dyDescent="0.3">
      <c r="A3" s="3" t="s">
        <v>16</v>
      </c>
      <c r="B3" s="3" t="s">
        <v>4</v>
      </c>
      <c r="C3" s="3" t="s">
        <v>31</v>
      </c>
      <c r="D3" s="3" t="s">
        <v>265</v>
      </c>
      <c r="E3" s="3" t="s">
        <v>266</v>
      </c>
      <c r="F3" s="3" t="s">
        <v>267</v>
      </c>
      <c r="G3" s="3" t="s">
        <v>268</v>
      </c>
      <c r="H3" s="3" t="s">
        <v>269</v>
      </c>
    </row>
    <row r="4" spans="1:15" x14ac:dyDescent="0.3">
      <c r="A4" s="12">
        <v>1</v>
      </c>
      <c r="B4" s="12" t="str">
        <f>'Coustmer Details'!B4</f>
        <v>C001</v>
      </c>
      <c r="C4" s="12" t="str">
        <f>'Room Details'!C4</f>
        <v>R102</v>
      </c>
      <c r="D4" s="12">
        <f>'Room Details'!E4</f>
        <v>1</v>
      </c>
      <c r="E4" s="13">
        <f>'Room Details'!I4</f>
        <v>45730</v>
      </c>
      <c r="F4" s="12" t="str">
        <f>'Room Details'!G4</f>
        <v>2000</v>
      </c>
      <c r="G4" s="12">
        <f>'Food Details'!K4</f>
        <v>500</v>
      </c>
      <c r="H4" s="12">
        <f>F4+G4</f>
        <v>2500</v>
      </c>
    </row>
    <row r="5" spans="1:15" x14ac:dyDescent="0.3">
      <c r="A5" s="12">
        <v>2</v>
      </c>
      <c r="B5" s="12" t="str">
        <f>'Coustmer Details'!B5</f>
        <v>C002</v>
      </c>
      <c r="C5" s="12" t="str">
        <f>'Room Details'!C5</f>
        <v>R103</v>
      </c>
      <c r="D5" s="12">
        <f>'Room Details'!E5</f>
        <v>3</v>
      </c>
      <c r="E5" s="13">
        <f>'Room Details'!I5</f>
        <v>45699</v>
      </c>
      <c r="F5" s="12" t="str">
        <f>'Room Details'!G5</f>
        <v>4000</v>
      </c>
      <c r="G5" s="12">
        <f>'Food Details'!K5</f>
        <v>200</v>
      </c>
      <c r="H5" s="12">
        <f t="shared" ref="H5:H53" si="0">F5+G5</f>
        <v>4200</v>
      </c>
    </row>
    <row r="6" spans="1:15" x14ac:dyDescent="0.3">
      <c r="A6" s="12">
        <v>3</v>
      </c>
      <c r="B6" s="12" t="str">
        <f>'Coustmer Details'!B6</f>
        <v>C003</v>
      </c>
      <c r="C6" s="12" t="str">
        <f>'Room Details'!C6</f>
        <v>R104</v>
      </c>
      <c r="D6" s="12">
        <f>'Room Details'!E6</f>
        <v>2</v>
      </c>
      <c r="E6" s="13">
        <f>'Room Details'!I6</f>
        <v>45883</v>
      </c>
      <c r="F6" s="12" t="str">
        <f>'Room Details'!G6</f>
        <v>5000</v>
      </c>
      <c r="G6" s="12">
        <f>'Food Details'!K6</f>
        <v>1400</v>
      </c>
      <c r="H6" s="12">
        <f t="shared" si="0"/>
        <v>6400</v>
      </c>
    </row>
    <row r="7" spans="1:15" x14ac:dyDescent="0.3">
      <c r="A7" s="12">
        <v>4</v>
      </c>
      <c r="B7" s="12" t="str">
        <f>'Coustmer Details'!B7</f>
        <v>C004</v>
      </c>
      <c r="C7" s="12" t="str">
        <f>'Room Details'!C7</f>
        <v>R105</v>
      </c>
      <c r="D7" s="12">
        <f>'Room Details'!E7</f>
        <v>1</v>
      </c>
      <c r="E7" s="13">
        <f>'Room Details'!I7</f>
        <v>45729</v>
      </c>
      <c r="F7" s="12" t="str">
        <f>'Room Details'!G7</f>
        <v>6000</v>
      </c>
      <c r="G7" s="12">
        <f>'Food Details'!K7</f>
        <v>900</v>
      </c>
      <c r="H7" s="12">
        <f t="shared" si="0"/>
        <v>6900</v>
      </c>
      <c r="L7" s="43" t="s">
        <v>269</v>
      </c>
      <c r="M7" s="43"/>
      <c r="N7" s="43"/>
      <c r="O7" s="43"/>
    </row>
    <row r="8" spans="1:15" x14ac:dyDescent="0.3">
      <c r="A8" s="12">
        <v>5</v>
      </c>
      <c r="B8" s="12" t="str">
        <f>'Coustmer Details'!B8</f>
        <v>C005</v>
      </c>
      <c r="C8" s="12" t="str">
        <f>'Room Details'!C8</f>
        <v>R106</v>
      </c>
      <c r="D8" s="12">
        <f>'Room Details'!E8</f>
        <v>4</v>
      </c>
      <c r="E8" s="13">
        <f>'Room Details'!I8</f>
        <v>46005</v>
      </c>
      <c r="F8" s="12" t="str">
        <f>'Room Details'!G8</f>
        <v>2000</v>
      </c>
      <c r="G8" s="12">
        <f>'Food Details'!K8</f>
        <v>500</v>
      </c>
      <c r="H8" s="12">
        <f t="shared" si="0"/>
        <v>2500</v>
      </c>
      <c r="L8" s="35" t="s">
        <v>4</v>
      </c>
      <c r="M8" s="35" t="s">
        <v>31</v>
      </c>
      <c r="N8" s="35" t="s">
        <v>265</v>
      </c>
      <c r="O8" s="35" t="s">
        <v>269</v>
      </c>
    </row>
    <row r="9" spans="1:15" x14ac:dyDescent="0.3">
      <c r="A9" s="12">
        <v>6</v>
      </c>
      <c r="B9" s="12" t="str">
        <f>'Coustmer Details'!B9</f>
        <v>C006</v>
      </c>
      <c r="C9" s="12" t="str">
        <f>'Room Details'!C9</f>
        <v>R107</v>
      </c>
      <c r="D9" s="12">
        <f>'Room Details'!E9</f>
        <v>2</v>
      </c>
      <c r="E9" s="13">
        <f>'Room Details'!I9</f>
        <v>45748</v>
      </c>
      <c r="F9" s="12" t="str">
        <f>'Room Details'!G9</f>
        <v>2000</v>
      </c>
      <c r="G9" s="12">
        <f>'Food Details'!K9</f>
        <v>700</v>
      </c>
      <c r="H9" s="12">
        <f t="shared" si="0"/>
        <v>2700</v>
      </c>
      <c r="L9" s="36" t="s">
        <v>41</v>
      </c>
      <c r="M9" s="36" t="str" cm="1">
        <f t="array" ref="M9:O9">VLOOKUP(L9,B3:H53,{2,3,7},0)</f>
        <v>R104</v>
      </c>
      <c r="N9" s="36">
        <v>2</v>
      </c>
      <c r="O9" s="36">
        <v>6400</v>
      </c>
    </row>
    <row r="10" spans="1:15" x14ac:dyDescent="0.3">
      <c r="A10" s="12">
        <v>7</v>
      </c>
      <c r="B10" s="12" t="str">
        <f>'Coustmer Details'!B10</f>
        <v>C007</v>
      </c>
      <c r="C10" s="12" t="str">
        <f>'Room Details'!C10</f>
        <v>R108</v>
      </c>
      <c r="D10" s="12">
        <f>'Room Details'!E10</f>
        <v>2</v>
      </c>
      <c r="E10" s="13">
        <f>'Room Details'!I10</f>
        <v>45789</v>
      </c>
      <c r="F10" s="12" t="str">
        <f>'Room Details'!G10</f>
        <v>4000</v>
      </c>
      <c r="G10" s="12">
        <f>'Food Details'!K10</f>
        <v>800</v>
      </c>
      <c r="H10" s="12">
        <f t="shared" si="0"/>
        <v>4800</v>
      </c>
      <c r="L10" s="36" t="s">
        <v>45</v>
      </c>
      <c r="M10" s="36" t="str" cm="1">
        <f t="array" ref="M10:O10">VLOOKUP(L10,B3:H53,{2,3,7},0)</f>
        <v>R108</v>
      </c>
      <c r="N10" s="36">
        <v>2</v>
      </c>
      <c r="O10" s="36">
        <v>4800</v>
      </c>
    </row>
    <row r="11" spans="1:15" x14ac:dyDescent="0.3">
      <c r="A11" s="12">
        <v>8</v>
      </c>
      <c r="B11" s="12" t="str">
        <f>'Coustmer Details'!B11</f>
        <v>C008</v>
      </c>
      <c r="C11" s="12" t="str">
        <f>'Room Details'!C11</f>
        <v>R109</v>
      </c>
      <c r="D11" s="12">
        <f>'Room Details'!E11</f>
        <v>1</v>
      </c>
      <c r="E11" s="13">
        <f>'Room Details'!I11</f>
        <v>45911</v>
      </c>
      <c r="F11" s="12" t="str">
        <f>'Room Details'!G11</f>
        <v>4000</v>
      </c>
      <c r="G11" s="12">
        <f>'Food Details'!K11</f>
        <v>2800</v>
      </c>
      <c r="H11" s="12">
        <f t="shared" si="0"/>
        <v>6800</v>
      </c>
    </row>
    <row r="12" spans="1:15" x14ac:dyDescent="0.3">
      <c r="A12" s="12">
        <v>9</v>
      </c>
      <c r="B12" s="12" t="str">
        <f>'Coustmer Details'!B12</f>
        <v>C009</v>
      </c>
      <c r="C12" s="12" t="str">
        <f>'Room Details'!C12</f>
        <v>R110</v>
      </c>
      <c r="D12" s="12">
        <f>'Room Details'!E12</f>
        <v>3</v>
      </c>
      <c r="E12" s="13">
        <f>'Room Details'!I12</f>
        <v>45874</v>
      </c>
      <c r="F12" s="12" t="str">
        <f>'Room Details'!G12</f>
        <v>2000</v>
      </c>
      <c r="G12" s="12">
        <f>'Food Details'!K12</f>
        <v>600</v>
      </c>
      <c r="H12" s="12">
        <f t="shared" si="0"/>
        <v>2600</v>
      </c>
    </row>
    <row r="13" spans="1:15" x14ac:dyDescent="0.3">
      <c r="A13" s="12">
        <v>10</v>
      </c>
      <c r="B13" s="12" t="str">
        <f>'Coustmer Details'!B13</f>
        <v>C010</v>
      </c>
      <c r="C13" s="12" t="str">
        <f>'Room Details'!C13</f>
        <v>R111</v>
      </c>
      <c r="D13" s="12">
        <f>'Room Details'!E13</f>
        <v>2</v>
      </c>
      <c r="E13" s="13">
        <f>'Room Details'!I13</f>
        <v>45817</v>
      </c>
      <c r="F13" s="12" t="str">
        <f>'Room Details'!G13</f>
        <v>4000</v>
      </c>
      <c r="G13" s="12">
        <f>'Food Details'!K13</f>
        <v>500</v>
      </c>
      <c r="H13" s="12">
        <f t="shared" si="0"/>
        <v>4500</v>
      </c>
    </row>
    <row r="14" spans="1:15" x14ac:dyDescent="0.3">
      <c r="A14" s="12">
        <v>11</v>
      </c>
      <c r="B14" s="12" t="str">
        <f>'Coustmer Details'!B14</f>
        <v>C011</v>
      </c>
      <c r="C14" s="12" t="str">
        <f>'Room Details'!C14</f>
        <v>R112</v>
      </c>
      <c r="D14" s="12">
        <f>'Room Details'!E14</f>
        <v>1</v>
      </c>
      <c r="E14" s="13">
        <f>'Room Details'!I14</f>
        <v>45730</v>
      </c>
      <c r="F14" s="12" t="str">
        <f>'Room Details'!G14</f>
        <v>5000</v>
      </c>
      <c r="G14" s="12">
        <f>'Food Details'!K14</f>
        <v>700</v>
      </c>
      <c r="H14" s="12">
        <f t="shared" si="0"/>
        <v>5700</v>
      </c>
    </row>
    <row r="15" spans="1:15" x14ac:dyDescent="0.3">
      <c r="A15" s="12">
        <v>12</v>
      </c>
      <c r="B15" s="12" t="str">
        <f>'Coustmer Details'!B15</f>
        <v>C012</v>
      </c>
      <c r="C15" s="12" t="str">
        <f>'Room Details'!C15</f>
        <v>R113</v>
      </c>
      <c r="D15" s="12">
        <f>'Room Details'!E15</f>
        <v>4</v>
      </c>
      <c r="E15" s="13">
        <f>'Room Details'!I15</f>
        <v>45699</v>
      </c>
      <c r="F15" s="12" t="str">
        <f>'Room Details'!G15</f>
        <v>6000</v>
      </c>
      <c r="G15" s="12">
        <f>'Food Details'!K15</f>
        <v>400</v>
      </c>
      <c r="H15" s="12">
        <f t="shared" si="0"/>
        <v>6400</v>
      </c>
    </row>
    <row r="16" spans="1:15" x14ac:dyDescent="0.3">
      <c r="A16" s="12">
        <v>13</v>
      </c>
      <c r="B16" s="12" t="str">
        <f>'Coustmer Details'!B16</f>
        <v>C013</v>
      </c>
      <c r="C16" s="12" t="str">
        <f>'Room Details'!C16</f>
        <v>R114</v>
      </c>
      <c r="D16" s="12">
        <f>'Room Details'!E16</f>
        <v>2</v>
      </c>
      <c r="E16" s="13">
        <f>'Room Details'!I16</f>
        <v>45883</v>
      </c>
      <c r="F16" s="12" t="str">
        <f>'Room Details'!G16</f>
        <v>2000</v>
      </c>
      <c r="G16" s="12">
        <f>'Food Details'!K16</f>
        <v>1000</v>
      </c>
      <c r="H16" s="12">
        <f t="shared" si="0"/>
        <v>3000</v>
      </c>
    </row>
    <row r="17" spans="1:18" x14ac:dyDescent="0.3">
      <c r="A17" s="12">
        <v>14</v>
      </c>
      <c r="B17" s="12" t="str">
        <f>'Coustmer Details'!B17</f>
        <v>C014</v>
      </c>
      <c r="C17" s="12" t="str">
        <f>'Room Details'!C17</f>
        <v>R115</v>
      </c>
      <c r="D17" s="12">
        <f>'Room Details'!E17</f>
        <v>2</v>
      </c>
      <c r="E17" s="13">
        <f>'Room Details'!I17</f>
        <v>45729</v>
      </c>
      <c r="F17" s="12" t="str">
        <f>'Room Details'!G17</f>
        <v>2000</v>
      </c>
      <c r="G17" s="12">
        <f>'Food Details'!K17</f>
        <v>100</v>
      </c>
      <c r="H17" s="12">
        <f t="shared" si="0"/>
        <v>2100</v>
      </c>
    </row>
    <row r="18" spans="1:18" x14ac:dyDescent="0.3">
      <c r="A18" s="12">
        <v>15</v>
      </c>
      <c r="B18" s="12" t="str">
        <f>'Coustmer Details'!B18</f>
        <v>C015</v>
      </c>
      <c r="C18" s="12" t="str">
        <f>'Room Details'!C18</f>
        <v>R116</v>
      </c>
      <c r="D18" s="12">
        <f>'Room Details'!E18</f>
        <v>1</v>
      </c>
      <c r="E18" s="13">
        <f>'Room Details'!I18</f>
        <v>46005</v>
      </c>
      <c r="F18" s="12" t="str">
        <f>'Room Details'!G18</f>
        <v>4000</v>
      </c>
      <c r="G18" s="12">
        <f>'Food Details'!K18</f>
        <v>1400</v>
      </c>
      <c r="H18" s="12">
        <f t="shared" si="0"/>
        <v>5400</v>
      </c>
    </row>
    <row r="19" spans="1:18" x14ac:dyDescent="0.3">
      <c r="A19" s="12">
        <v>16</v>
      </c>
      <c r="B19" s="12" t="str">
        <f>'Coustmer Details'!B19</f>
        <v>C016</v>
      </c>
      <c r="C19" s="12" t="str">
        <f>'Room Details'!C19</f>
        <v>R117</v>
      </c>
      <c r="D19" s="12">
        <f>'Room Details'!E19</f>
        <v>3</v>
      </c>
      <c r="E19" s="13">
        <f>'Room Details'!I19</f>
        <v>45748</v>
      </c>
      <c r="F19" s="12" t="str">
        <f>'Room Details'!G19</f>
        <v>4000</v>
      </c>
      <c r="G19" s="12">
        <f>'Food Details'!K19</f>
        <v>600</v>
      </c>
      <c r="H19" s="12">
        <f t="shared" si="0"/>
        <v>4600</v>
      </c>
      <c r="L19" s="43" t="s">
        <v>269</v>
      </c>
      <c r="M19" s="43"/>
      <c r="N19" s="43"/>
      <c r="O19" s="43"/>
      <c r="P19" s="43"/>
      <c r="Q19" s="43"/>
      <c r="R19" s="43"/>
    </row>
    <row r="20" spans="1:18" x14ac:dyDescent="0.3">
      <c r="A20" s="12">
        <v>17</v>
      </c>
      <c r="B20" s="12" t="str">
        <f>'Coustmer Details'!B20</f>
        <v>C017</v>
      </c>
      <c r="C20" s="12" t="str">
        <f>'Room Details'!C20</f>
        <v>R118</v>
      </c>
      <c r="D20" s="12">
        <f>'Room Details'!E20</f>
        <v>2</v>
      </c>
      <c r="E20" s="13">
        <f>'Room Details'!I20</f>
        <v>45789</v>
      </c>
      <c r="F20" s="12" t="str">
        <f>'Room Details'!G20</f>
        <v>2000</v>
      </c>
      <c r="G20" s="12">
        <f>'Food Details'!K20</f>
        <v>1500</v>
      </c>
      <c r="H20" s="12">
        <f t="shared" si="0"/>
        <v>3500</v>
      </c>
      <c r="L20" s="34" t="s">
        <v>4</v>
      </c>
      <c r="M20" s="34" t="s">
        <v>31</v>
      </c>
      <c r="N20" s="34" t="s">
        <v>265</v>
      </c>
      <c r="O20" s="34" t="s">
        <v>401</v>
      </c>
      <c r="P20" s="34" t="s">
        <v>267</v>
      </c>
      <c r="Q20" s="34" t="s">
        <v>268</v>
      </c>
      <c r="R20" s="34" t="s">
        <v>269</v>
      </c>
    </row>
    <row r="21" spans="1:18" x14ac:dyDescent="0.3">
      <c r="A21" s="12">
        <v>18</v>
      </c>
      <c r="B21" s="12" t="str">
        <f>'Coustmer Details'!B21</f>
        <v>C018</v>
      </c>
      <c r="C21" s="12" t="str">
        <f>'Room Details'!C21</f>
        <v>R119</v>
      </c>
      <c r="D21" s="12">
        <f>'Room Details'!E21</f>
        <v>1</v>
      </c>
      <c r="E21" s="13">
        <f>'Room Details'!I21</f>
        <v>45911</v>
      </c>
      <c r="F21" s="12" t="str">
        <f>'Room Details'!G21</f>
        <v>4000</v>
      </c>
      <c r="G21" s="12">
        <f>'Food Details'!K21</f>
        <v>350</v>
      </c>
      <c r="H21" s="12">
        <f t="shared" si="0"/>
        <v>4350</v>
      </c>
      <c r="L21" s="4" t="s">
        <v>48</v>
      </c>
      <c r="M21" s="4" t="str" cm="1">
        <f t="array" ref="M21:R21">_xlfn.XLOOKUP(L21,B3:B53,C3:H53)</f>
        <v>R111</v>
      </c>
      <c r="N21" s="4">
        <v>2</v>
      </c>
      <c r="O21" s="4">
        <v>45817</v>
      </c>
      <c r="P21" s="4" t="str">
        <v>4000</v>
      </c>
      <c r="Q21" s="4">
        <v>500</v>
      </c>
      <c r="R21" s="4">
        <v>4500</v>
      </c>
    </row>
    <row r="22" spans="1:18" x14ac:dyDescent="0.3">
      <c r="A22" s="12">
        <v>19</v>
      </c>
      <c r="B22" s="12" t="str">
        <f>'Coustmer Details'!B22</f>
        <v>C019</v>
      </c>
      <c r="C22" s="12" t="str">
        <f>'Room Details'!C22</f>
        <v>R120</v>
      </c>
      <c r="D22" s="12">
        <f>'Room Details'!E22</f>
        <v>4</v>
      </c>
      <c r="E22" s="13">
        <f>'Room Details'!I22</f>
        <v>45874</v>
      </c>
      <c r="F22" s="12" t="str">
        <f>'Room Details'!G22</f>
        <v>5000</v>
      </c>
      <c r="G22" s="12">
        <f>'Food Details'!K22</f>
        <v>800</v>
      </c>
      <c r="H22" s="12">
        <f t="shared" si="0"/>
        <v>5800</v>
      </c>
      <c r="L22" s="4" t="s">
        <v>46</v>
      </c>
      <c r="M22" s="4" t="str" cm="1">
        <f t="array" ref="M22:R22">_xlfn.XLOOKUP(L22,B3:B53,C3:H53)</f>
        <v>R109</v>
      </c>
      <c r="N22" s="4">
        <v>1</v>
      </c>
      <c r="O22" s="4">
        <v>45911</v>
      </c>
      <c r="P22" s="4" t="str">
        <v>4000</v>
      </c>
      <c r="Q22" s="4">
        <v>2800</v>
      </c>
      <c r="R22" s="4">
        <v>6800</v>
      </c>
    </row>
    <row r="23" spans="1:18" x14ac:dyDescent="0.3">
      <c r="A23" s="12">
        <v>20</v>
      </c>
      <c r="B23" s="12" t="str">
        <f>'Coustmer Details'!B23</f>
        <v>C020</v>
      </c>
      <c r="C23" s="12" t="str">
        <f>'Room Details'!C23</f>
        <v>R121</v>
      </c>
      <c r="D23" s="12">
        <f>'Room Details'!E23</f>
        <v>2</v>
      </c>
      <c r="E23" s="13">
        <f>'Room Details'!I23</f>
        <v>45817</v>
      </c>
      <c r="F23" s="12" t="str">
        <f>'Room Details'!G23</f>
        <v>6000</v>
      </c>
      <c r="G23" s="12">
        <f>'Food Details'!K23</f>
        <v>1500</v>
      </c>
      <c r="H23" s="12">
        <f t="shared" si="0"/>
        <v>7500</v>
      </c>
    </row>
    <row r="24" spans="1:18" x14ac:dyDescent="0.3">
      <c r="A24" s="12">
        <v>21</v>
      </c>
      <c r="B24" s="12" t="str">
        <f>'Coustmer Details'!B24</f>
        <v>C021</v>
      </c>
      <c r="C24" s="12" t="str">
        <f>'Room Details'!C24</f>
        <v>R122</v>
      </c>
      <c r="D24" s="12">
        <f>'Room Details'!E24</f>
        <v>2</v>
      </c>
      <c r="E24" s="13">
        <f>'Room Details'!I24</f>
        <v>45730</v>
      </c>
      <c r="F24" s="12" t="str">
        <f>'Room Details'!G24</f>
        <v>2000</v>
      </c>
      <c r="G24" s="12">
        <f>'Food Details'!K24</f>
        <v>350</v>
      </c>
      <c r="H24" s="12">
        <f t="shared" si="0"/>
        <v>2350</v>
      </c>
    </row>
    <row r="25" spans="1:18" x14ac:dyDescent="0.3">
      <c r="A25" s="12">
        <v>22</v>
      </c>
      <c r="B25" s="12" t="str">
        <f>'Coustmer Details'!B25</f>
        <v>C022</v>
      </c>
      <c r="C25" s="12" t="str">
        <f>'Room Details'!C25</f>
        <v>R123</v>
      </c>
      <c r="D25" s="12">
        <f>'Room Details'!E25</f>
        <v>1</v>
      </c>
      <c r="E25" s="13">
        <f>'Room Details'!I25</f>
        <v>45699</v>
      </c>
      <c r="F25" s="12" t="str">
        <f>'Room Details'!G25</f>
        <v>2000</v>
      </c>
      <c r="G25" s="12">
        <f>'Food Details'!K25</f>
        <v>400</v>
      </c>
      <c r="H25" s="12">
        <f t="shared" si="0"/>
        <v>2400</v>
      </c>
    </row>
    <row r="26" spans="1:18" x14ac:dyDescent="0.3">
      <c r="A26" s="12">
        <v>23</v>
      </c>
      <c r="B26" s="12" t="str">
        <f>'Coustmer Details'!B26</f>
        <v>C023</v>
      </c>
      <c r="C26" s="12" t="str">
        <f>'Room Details'!C26</f>
        <v>R124</v>
      </c>
      <c r="D26" s="12">
        <f>'Room Details'!E26</f>
        <v>3</v>
      </c>
      <c r="E26" s="13">
        <f>'Room Details'!I26</f>
        <v>45883</v>
      </c>
      <c r="F26" s="12" t="str">
        <f>'Room Details'!G26</f>
        <v>4000</v>
      </c>
      <c r="G26" s="12">
        <f>'Food Details'!K26</f>
        <v>1500</v>
      </c>
      <c r="H26" s="12">
        <f t="shared" si="0"/>
        <v>5500</v>
      </c>
    </row>
    <row r="27" spans="1:18" x14ac:dyDescent="0.3">
      <c r="A27" s="12">
        <v>24</v>
      </c>
      <c r="B27" s="12" t="str">
        <f>'Coustmer Details'!B27</f>
        <v>C024</v>
      </c>
      <c r="C27" s="12" t="str">
        <f>'Room Details'!C27</f>
        <v>R125</v>
      </c>
      <c r="D27" s="12">
        <f>'Room Details'!E27</f>
        <v>2</v>
      </c>
      <c r="E27" s="13">
        <f>'Room Details'!I27</f>
        <v>45729</v>
      </c>
      <c r="F27" s="12" t="str">
        <f>'Room Details'!G27</f>
        <v>4000</v>
      </c>
      <c r="G27" s="12">
        <f>'Food Details'!K27</f>
        <v>200</v>
      </c>
      <c r="H27" s="12">
        <f t="shared" si="0"/>
        <v>4200</v>
      </c>
    </row>
    <row r="28" spans="1:18" x14ac:dyDescent="0.3">
      <c r="A28" s="12">
        <v>25</v>
      </c>
      <c r="B28" s="12" t="str">
        <f>'Coustmer Details'!B28</f>
        <v>C025</v>
      </c>
      <c r="C28" s="12" t="str">
        <f>'Room Details'!C28</f>
        <v>R126</v>
      </c>
      <c r="D28" s="12">
        <f>'Room Details'!E28</f>
        <v>1</v>
      </c>
      <c r="E28" s="13">
        <f>'Room Details'!I28</f>
        <v>46005</v>
      </c>
      <c r="F28" s="12" t="str">
        <f>'Room Details'!G28</f>
        <v>2000</v>
      </c>
      <c r="G28" s="12">
        <f>'Food Details'!K28</f>
        <v>2100</v>
      </c>
      <c r="H28" s="12">
        <f t="shared" si="0"/>
        <v>4100</v>
      </c>
    </row>
    <row r="29" spans="1:18" x14ac:dyDescent="0.3">
      <c r="A29" s="12">
        <v>26</v>
      </c>
      <c r="B29" s="12" t="str">
        <f>'Coustmer Details'!B29</f>
        <v>C026</v>
      </c>
      <c r="C29" s="12" t="str">
        <f>'Room Details'!C29</f>
        <v>R127</v>
      </c>
      <c r="D29" s="12">
        <f>'Room Details'!E29</f>
        <v>4</v>
      </c>
      <c r="E29" s="13">
        <f>'Room Details'!I29</f>
        <v>45748</v>
      </c>
      <c r="F29" s="12" t="str">
        <f>'Room Details'!G29</f>
        <v>4000</v>
      </c>
      <c r="G29" s="12">
        <f>'Food Details'!K29</f>
        <v>300</v>
      </c>
      <c r="H29" s="12">
        <f t="shared" si="0"/>
        <v>4300</v>
      </c>
    </row>
    <row r="30" spans="1:18" x14ac:dyDescent="0.3">
      <c r="A30" s="12">
        <v>27</v>
      </c>
      <c r="B30" s="12" t="str">
        <f>'Coustmer Details'!B30</f>
        <v>C027</v>
      </c>
      <c r="C30" s="12" t="str">
        <f>'Room Details'!C30</f>
        <v>R128</v>
      </c>
      <c r="D30" s="12">
        <f>'Room Details'!E30</f>
        <v>2</v>
      </c>
      <c r="E30" s="13">
        <f>'Room Details'!I30</f>
        <v>45789</v>
      </c>
      <c r="F30" s="12" t="str">
        <f>'Room Details'!G30</f>
        <v>5000</v>
      </c>
      <c r="G30" s="12">
        <f>'Food Details'!K30</f>
        <v>2000</v>
      </c>
      <c r="H30" s="12">
        <f t="shared" si="0"/>
        <v>7000</v>
      </c>
    </row>
    <row r="31" spans="1:18" x14ac:dyDescent="0.3">
      <c r="A31" s="12">
        <v>28</v>
      </c>
      <c r="B31" s="12" t="str">
        <f>'Coustmer Details'!B31</f>
        <v>C028</v>
      </c>
      <c r="C31" s="12" t="str">
        <f>'Room Details'!C31</f>
        <v>R129</v>
      </c>
      <c r="D31" s="12">
        <f>'Room Details'!E31</f>
        <v>2</v>
      </c>
      <c r="E31" s="13">
        <f>'Room Details'!I31</f>
        <v>45911</v>
      </c>
      <c r="F31" s="12" t="str">
        <f>'Room Details'!G31</f>
        <v>6000</v>
      </c>
      <c r="G31" s="12">
        <f>'Food Details'!K31</f>
        <v>1400</v>
      </c>
      <c r="H31" s="12">
        <f t="shared" si="0"/>
        <v>7400</v>
      </c>
    </row>
    <row r="32" spans="1:18" x14ac:dyDescent="0.3">
      <c r="A32" s="12">
        <v>29</v>
      </c>
      <c r="B32" s="12" t="str">
        <f>'Coustmer Details'!B32</f>
        <v>C029</v>
      </c>
      <c r="C32" s="12" t="str">
        <f>'Room Details'!C32</f>
        <v>R130</v>
      </c>
      <c r="D32" s="12">
        <f>'Room Details'!E32</f>
        <v>4</v>
      </c>
      <c r="E32" s="13">
        <f>'Room Details'!I32</f>
        <v>45874</v>
      </c>
      <c r="F32" s="12" t="str">
        <f>'Room Details'!G32</f>
        <v>2000</v>
      </c>
      <c r="G32" s="12">
        <f>'Food Details'!K32</f>
        <v>1200</v>
      </c>
      <c r="H32" s="12">
        <f t="shared" si="0"/>
        <v>3200</v>
      </c>
    </row>
    <row r="33" spans="1:8" x14ac:dyDescent="0.3">
      <c r="A33" s="12">
        <v>30</v>
      </c>
      <c r="B33" s="12" t="str">
        <f>'Coustmer Details'!B33</f>
        <v>C030</v>
      </c>
      <c r="C33" s="12" t="str">
        <f>'Room Details'!C33</f>
        <v>R131</v>
      </c>
      <c r="D33" s="12">
        <f>'Room Details'!E33</f>
        <v>1</v>
      </c>
      <c r="E33" s="13">
        <f>'Room Details'!I33</f>
        <v>45817</v>
      </c>
      <c r="F33" s="12" t="str">
        <f>'Room Details'!G33</f>
        <v>2000</v>
      </c>
      <c r="G33" s="12">
        <f>'Food Details'!K33</f>
        <v>1000</v>
      </c>
      <c r="H33" s="12">
        <f t="shared" si="0"/>
        <v>3000</v>
      </c>
    </row>
    <row r="34" spans="1:8" x14ac:dyDescent="0.3">
      <c r="A34" s="12">
        <v>31</v>
      </c>
      <c r="B34" s="12" t="str">
        <f>'Coustmer Details'!B34</f>
        <v>C031</v>
      </c>
      <c r="C34" s="12" t="str">
        <f>'Room Details'!C34</f>
        <v>R132</v>
      </c>
      <c r="D34" s="12">
        <f>'Room Details'!E34</f>
        <v>3</v>
      </c>
      <c r="E34" s="13">
        <f>'Room Details'!I34</f>
        <v>45730</v>
      </c>
      <c r="F34" s="12" t="str">
        <f>'Room Details'!G34</f>
        <v>4000</v>
      </c>
      <c r="G34" s="12">
        <f>'Food Details'!K34</f>
        <v>1400</v>
      </c>
      <c r="H34" s="12">
        <f t="shared" si="0"/>
        <v>5400</v>
      </c>
    </row>
    <row r="35" spans="1:8" x14ac:dyDescent="0.3">
      <c r="A35" s="12">
        <v>32</v>
      </c>
      <c r="B35" s="12" t="str">
        <f>'Coustmer Details'!B35</f>
        <v>C032</v>
      </c>
      <c r="C35" s="12" t="str">
        <f>'Room Details'!C35</f>
        <v>R133</v>
      </c>
      <c r="D35" s="12">
        <f>'Room Details'!E35</f>
        <v>2</v>
      </c>
      <c r="E35" s="13">
        <f>'Room Details'!I35</f>
        <v>45699</v>
      </c>
      <c r="F35" s="12" t="str">
        <f>'Room Details'!G35</f>
        <v>4000</v>
      </c>
      <c r="G35" s="12">
        <f>'Food Details'!K35</f>
        <v>400</v>
      </c>
      <c r="H35" s="12">
        <f t="shared" si="0"/>
        <v>4400</v>
      </c>
    </row>
    <row r="36" spans="1:8" x14ac:dyDescent="0.3">
      <c r="A36" s="12">
        <v>33</v>
      </c>
      <c r="B36" s="12" t="str">
        <f>'Coustmer Details'!B36</f>
        <v>C033</v>
      </c>
      <c r="C36" s="12" t="str">
        <f>'Room Details'!C36</f>
        <v>R134</v>
      </c>
      <c r="D36" s="12">
        <f>'Room Details'!E36</f>
        <v>1</v>
      </c>
      <c r="E36" s="13">
        <f>'Room Details'!I36</f>
        <v>45883</v>
      </c>
      <c r="F36" s="12" t="str">
        <f>'Room Details'!G36</f>
        <v>2000</v>
      </c>
      <c r="G36" s="12">
        <f>'Food Details'!K36</f>
        <v>1500</v>
      </c>
      <c r="H36" s="12">
        <f t="shared" si="0"/>
        <v>3500</v>
      </c>
    </row>
    <row r="37" spans="1:8" x14ac:dyDescent="0.3">
      <c r="A37" s="12">
        <v>34</v>
      </c>
      <c r="B37" s="12" t="str">
        <f>'Coustmer Details'!B37</f>
        <v>C034</v>
      </c>
      <c r="C37" s="12" t="str">
        <f>'Room Details'!C37</f>
        <v>R135</v>
      </c>
      <c r="D37" s="12">
        <f>'Room Details'!E37</f>
        <v>4</v>
      </c>
      <c r="E37" s="13">
        <f>'Room Details'!I37</f>
        <v>45729</v>
      </c>
      <c r="F37" s="12" t="str">
        <f>'Room Details'!G37</f>
        <v>4000</v>
      </c>
      <c r="G37" s="12">
        <f>'Food Details'!K37</f>
        <v>200</v>
      </c>
      <c r="H37" s="12">
        <f t="shared" si="0"/>
        <v>4200</v>
      </c>
    </row>
    <row r="38" spans="1:8" x14ac:dyDescent="0.3">
      <c r="A38" s="12">
        <v>35</v>
      </c>
      <c r="B38" s="12" t="str">
        <f>'Coustmer Details'!B38</f>
        <v>C035</v>
      </c>
      <c r="C38" s="12" t="str">
        <f>'Room Details'!C38</f>
        <v>R136</v>
      </c>
      <c r="D38" s="12">
        <f>'Room Details'!E38</f>
        <v>2</v>
      </c>
      <c r="E38" s="13">
        <f>'Room Details'!I38</f>
        <v>46005</v>
      </c>
      <c r="F38" s="12" t="str">
        <f>'Room Details'!G38</f>
        <v>5000</v>
      </c>
      <c r="G38" s="12">
        <f>'Food Details'!K38</f>
        <v>2000</v>
      </c>
      <c r="H38" s="12">
        <f t="shared" si="0"/>
        <v>7000</v>
      </c>
    </row>
    <row r="39" spans="1:8" x14ac:dyDescent="0.3">
      <c r="A39" s="12">
        <v>36</v>
      </c>
      <c r="B39" s="12" t="str">
        <f>'Coustmer Details'!B39</f>
        <v>C036</v>
      </c>
      <c r="C39" s="12" t="str">
        <f>'Room Details'!C39</f>
        <v>R137</v>
      </c>
      <c r="D39" s="12">
        <f>'Room Details'!E39</f>
        <v>2</v>
      </c>
      <c r="E39" s="13">
        <f>'Room Details'!I39</f>
        <v>45748</v>
      </c>
      <c r="F39" s="12" t="str">
        <f>'Room Details'!G39</f>
        <v>6000</v>
      </c>
      <c r="G39" s="12">
        <f>'Food Details'!K39</f>
        <v>700</v>
      </c>
      <c r="H39" s="12">
        <f t="shared" si="0"/>
        <v>6700</v>
      </c>
    </row>
    <row r="40" spans="1:8" x14ac:dyDescent="0.3">
      <c r="A40" s="12">
        <v>37</v>
      </c>
      <c r="B40" s="12" t="str">
        <f>'Coustmer Details'!B40</f>
        <v>C037</v>
      </c>
      <c r="C40" s="12" t="str">
        <f>'Room Details'!C40</f>
        <v>R138</v>
      </c>
      <c r="D40" s="12">
        <f>'Room Details'!E40</f>
        <v>1</v>
      </c>
      <c r="E40" s="13">
        <f>'Room Details'!I40</f>
        <v>45789</v>
      </c>
      <c r="F40" s="12" t="str">
        <f>'Room Details'!G40</f>
        <v>2000</v>
      </c>
      <c r="G40" s="12">
        <f>'Food Details'!K40</f>
        <v>1600</v>
      </c>
      <c r="H40" s="12">
        <f t="shared" si="0"/>
        <v>3600</v>
      </c>
    </row>
    <row r="41" spans="1:8" x14ac:dyDescent="0.3">
      <c r="A41" s="12">
        <v>38</v>
      </c>
      <c r="B41" s="12" t="str">
        <f>'Coustmer Details'!B41</f>
        <v>C038</v>
      </c>
      <c r="C41" s="12" t="str">
        <f>'Room Details'!C41</f>
        <v>R139</v>
      </c>
      <c r="D41" s="12">
        <f>'Room Details'!E41</f>
        <v>3</v>
      </c>
      <c r="E41" s="13">
        <f>'Room Details'!I41</f>
        <v>45911</v>
      </c>
      <c r="F41" s="12" t="str">
        <f>'Room Details'!G41</f>
        <v>2000</v>
      </c>
      <c r="G41" s="12">
        <f>'Food Details'!K41</f>
        <v>2100</v>
      </c>
      <c r="H41" s="12">
        <f t="shared" si="0"/>
        <v>4100</v>
      </c>
    </row>
    <row r="42" spans="1:8" x14ac:dyDescent="0.3">
      <c r="A42" s="12">
        <v>39</v>
      </c>
      <c r="B42" s="12" t="str">
        <f>'Coustmer Details'!B42</f>
        <v>C039</v>
      </c>
      <c r="C42" s="12" t="str">
        <f>'Room Details'!C42</f>
        <v>R140</v>
      </c>
      <c r="D42" s="12">
        <f>'Room Details'!E42</f>
        <v>2</v>
      </c>
      <c r="E42" s="13">
        <f>'Room Details'!I42</f>
        <v>45874</v>
      </c>
      <c r="F42" s="12" t="str">
        <f>'Room Details'!G42</f>
        <v>4000</v>
      </c>
      <c r="G42" s="12">
        <f>'Food Details'!K42</f>
        <v>300</v>
      </c>
      <c r="H42" s="12">
        <f t="shared" si="0"/>
        <v>4300</v>
      </c>
    </row>
    <row r="43" spans="1:8" x14ac:dyDescent="0.3">
      <c r="A43" s="12">
        <v>40</v>
      </c>
      <c r="B43" s="12" t="str">
        <f>'Coustmer Details'!B43</f>
        <v>C040</v>
      </c>
      <c r="C43" s="12" t="str">
        <f>'Room Details'!C43</f>
        <v>R141</v>
      </c>
      <c r="D43" s="12">
        <f>'Room Details'!E43</f>
        <v>1</v>
      </c>
      <c r="E43" s="13">
        <f>'Room Details'!I43</f>
        <v>45817</v>
      </c>
      <c r="F43" s="12" t="str">
        <f>'Room Details'!G43</f>
        <v>4000</v>
      </c>
      <c r="G43" s="12">
        <f>'Food Details'!K43</f>
        <v>2000</v>
      </c>
      <c r="H43" s="12">
        <f t="shared" si="0"/>
        <v>6000</v>
      </c>
    </row>
    <row r="44" spans="1:8" x14ac:dyDescent="0.3">
      <c r="A44" s="12">
        <v>41</v>
      </c>
      <c r="B44" s="12" t="str">
        <f>'Coustmer Details'!B44</f>
        <v>C041</v>
      </c>
      <c r="C44" s="12" t="str">
        <f>'Room Details'!C44</f>
        <v>R142</v>
      </c>
      <c r="D44" s="12">
        <f>'Room Details'!E44</f>
        <v>4</v>
      </c>
      <c r="E44" s="13">
        <f>'Room Details'!I44</f>
        <v>45730</v>
      </c>
      <c r="F44" s="12" t="str">
        <f>'Room Details'!G44</f>
        <v>2000</v>
      </c>
      <c r="G44" s="12">
        <f>'Food Details'!K44</f>
        <v>1000</v>
      </c>
      <c r="H44" s="12">
        <f t="shared" si="0"/>
        <v>3000</v>
      </c>
    </row>
    <row r="45" spans="1:8" x14ac:dyDescent="0.3">
      <c r="A45" s="12">
        <v>42</v>
      </c>
      <c r="B45" s="12" t="str">
        <f>'Coustmer Details'!B45</f>
        <v>C042</v>
      </c>
      <c r="C45" s="12" t="str">
        <f>'Room Details'!C45</f>
        <v>R143</v>
      </c>
      <c r="D45" s="12">
        <f>'Room Details'!E45</f>
        <v>2</v>
      </c>
      <c r="E45" s="13">
        <f>'Room Details'!I45</f>
        <v>45699</v>
      </c>
      <c r="F45" s="12" t="str">
        <f>'Room Details'!G45</f>
        <v>4000</v>
      </c>
      <c r="G45" s="12">
        <f>'Food Details'!K45</f>
        <v>1600</v>
      </c>
      <c r="H45" s="12">
        <f t="shared" si="0"/>
        <v>5600</v>
      </c>
    </row>
    <row r="46" spans="1:8" x14ac:dyDescent="0.3">
      <c r="A46" s="12">
        <v>43</v>
      </c>
      <c r="B46" s="12" t="str">
        <f>'Coustmer Details'!B46</f>
        <v>C043</v>
      </c>
      <c r="C46" s="12" t="str">
        <f>'Room Details'!C46</f>
        <v>R144</v>
      </c>
      <c r="D46" s="12">
        <f>'Room Details'!E46</f>
        <v>2</v>
      </c>
      <c r="E46" s="13">
        <f>'Room Details'!I46</f>
        <v>45883</v>
      </c>
      <c r="F46" s="12" t="str">
        <f>'Room Details'!G46</f>
        <v>5000</v>
      </c>
      <c r="G46" s="12">
        <f>'Food Details'!K46</f>
        <v>1000</v>
      </c>
      <c r="H46" s="12">
        <f t="shared" si="0"/>
        <v>6000</v>
      </c>
    </row>
    <row r="47" spans="1:8" x14ac:dyDescent="0.3">
      <c r="A47" s="12">
        <v>44</v>
      </c>
      <c r="B47" s="12" t="str">
        <f>'Coustmer Details'!B47</f>
        <v>C044</v>
      </c>
      <c r="C47" s="12" t="str">
        <f>'Room Details'!C47</f>
        <v>R145</v>
      </c>
      <c r="D47" s="12">
        <f>'Room Details'!E47</f>
        <v>1</v>
      </c>
      <c r="E47" s="13">
        <f>'Room Details'!I47</f>
        <v>45729</v>
      </c>
      <c r="F47" s="12" t="str">
        <f>'Room Details'!G47</f>
        <v>6000</v>
      </c>
      <c r="G47" s="12">
        <f>'Food Details'!K47</f>
        <v>300</v>
      </c>
      <c r="H47" s="12">
        <f t="shared" si="0"/>
        <v>6300</v>
      </c>
    </row>
    <row r="48" spans="1:8" x14ac:dyDescent="0.3">
      <c r="A48" s="12">
        <v>45</v>
      </c>
      <c r="B48" s="12" t="str">
        <f>'Coustmer Details'!B48</f>
        <v>C045</v>
      </c>
      <c r="C48" s="12" t="str">
        <f>'Room Details'!C48</f>
        <v>R146</v>
      </c>
      <c r="D48" s="12">
        <f>'Room Details'!E48</f>
        <v>3</v>
      </c>
      <c r="E48" s="13">
        <f>'Room Details'!I48</f>
        <v>46005</v>
      </c>
      <c r="F48" s="12" t="str">
        <f>'Room Details'!G48</f>
        <v>2000</v>
      </c>
      <c r="G48" s="12">
        <f>'Food Details'!K48</f>
        <v>700</v>
      </c>
      <c r="H48" s="12">
        <f t="shared" si="0"/>
        <v>2700</v>
      </c>
    </row>
    <row r="49" spans="1:8" x14ac:dyDescent="0.3">
      <c r="A49" s="12">
        <v>46</v>
      </c>
      <c r="B49" s="12" t="str">
        <f>'Coustmer Details'!B49</f>
        <v>C046</v>
      </c>
      <c r="C49" s="12" t="str">
        <f>'Room Details'!C49</f>
        <v>R147</v>
      </c>
      <c r="D49" s="12">
        <f>'Room Details'!E49</f>
        <v>2</v>
      </c>
      <c r="E49" s="13">
        <f>'Room Details'!I49</f>
        <v>45748</v>
      </c>
      <c r="F49" s="12" t="str">
        <f>'Room Details'!G49</f>
        <v>2000</v>
      </c>
      <c r="G49" s="12">
        <f>'Food Details'!K49</f>
        <v>900</v>
      </c>
      <c r="H49" s="12">
        <f t="shared" si="0"/>
        <v>2900</v>
      </c>
    </row>
    <row r="50" spans="1:8" x14ac:dyDescent="0.3">
      <c r="A50" s="12">
        <v>47</v>
      </c>
      <c r="B50" s="12" t="str">
        <f>'Coustmer Details'!B50</f>
        <v>C047</v>
      </c>
      <c r="C50" s="12" t="str">
        <f>'Room Details'!C50</f>
        <v>R148</v>
      </c>
      <c r="D50" s="12">
        <f>'Room Details'!E50</f>
        <v>1</v>
      </c>
      <c r="E50" s="13">
        <f>'Room Details'!I50</f>
        <v>45789</v>
      </c>
      <c r="F50" s="12" t="str">
        <f>'Room Details'!G50</f>
        <v>4000</v>
      </c>
      <c r="G50" s="12">
        <f>'Food Details'!K50</f>
        <v>2000</v>
      </c>
      <c r="H50" s="12">
        <f t="shared" si="0"/>
        <v>6000</v>
      </c>
    </row>
    <row r="51" spans="1:8" x14ac:dyDescent="0.3">
      <c r="A51" s="12">
        <v>48</v>
      </c>
      <c r="B51" s="12" t="str">
        <f>'Coustmer Details'!B51</f>
        <v>C048</v>
      </c>
      <c r="C51" s="12" t="str">
        <f>'Room Details'!C51</f>
        <v>R149</v>
      </c>
      <c r="D51" s="12">
        <f>'Room Details'!E51</f>
        <v>4</v>
      </c>
      <c r="E51" s="13">
        <f>'Room Details'!I51</f>
        <v>45911</v>
      </c>
      <c r="F51" s="12" t="str">
        <f>'Room Details'!G51</f>
        <v>4000</v>
      </c>
      <c r="G51" s="12">
        <f>'Food Details'!K51</f>
        <v>700</v>
      </c>
      <c r="H51" s="12">
        <f t="shared" si="0"/>
        <v>4700</v>
      </c>
    </row>
    <row r="52" spans="1:8" x14ac:dyDescent="0.3">
      <c r="A52" s="12">
        <v>49</v>
      </c>
      <c r="B52" s="12" t="str">
        <f>'Coustmer Details'!B52</f>
        <v>C049</v>
      </c>
      <c r="C52" s="12" t="str">
        <f>'Room Details'!C52</f>
        <v>R150</v>
      </c>
      <c r="D52" s="12">
        <f>'Room Details'!E52</f>
        <v>2</v>
      </c>
      <c r="E52" s="13">
        <f>'Room Details'!I52</f>
        <v>45874</v>
      </c>
      <c r="F52" s="12" t="str">
        <f>'Room Details'!G52</f>
        <v>6000</v>
      </c>
      <c r="G52" s="12">
        <f>'Food Details'!K52</f>
        <v>500</v>
      </c>
      <c r="H52" s="12">
        <f t="shared" si="0"/>
        <v>6500</v>
      </c>
    </row>
    <row r="53" spans="1:8" x14ac:dyDescent="0.3">
      <c r="A53" s="12">
        <v>50</v>
      </c>
      <c r="B53" s="12" t="str">
        <f>'Coustmer Details'!B53</f>
        <v>C050</v>
      </c>
      <c r="C53" s="12" t="str">
        <f>'Room Details'!C53</f>
        <v>R151</v>
      </c>
      <c r="D53" s="12">
        <f>'Room Details'!E53</f>
        <v>2</v>
      </c>
      <c r="E53" s="13">
        <f>'Room Details'!I53</f>
        <v>45817</v>
      </c>
      <c r="F53" s="12" t="str">
        <f>'Room Details'!G53</f>
        <v>5000</v>
      </c>
      <c r="G53" s="12">
        <f>'Food Details'!K53</f>
        <v>1000</v>
      </c>
      <c r="H53" s="12">
        <f t="shared" si="0"/>
        <v>6000</v>
      </c>
    </row>
  </sheetData>
  <mergeCells count="3">
    <mergeCell ref="B2:H2"/>
    <mergeCell ref="L7:O7"/>
    <mergeCell ref="L19:R19"/>
  </mergeCells>
  <dataValidations count="1">
    <dataValidation type="list" allowBlank="1" showInputMessage="1" showErrorMessage="1" sqref="L9:L10 L21:L22" xr:uid="{2A6A3F13-92D7-4ACE-B009-62C589C4FCA9}">
      <formula1>$B$4:$B$53</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CA52-1D6F-4EE4-BCDB-B06399CC2084}">
  <sheetPr>
    <tabColor theme="5" tint="-0.249977111117893"/>
  </sheetPr>
  <dimension ref="A3:D58"/>
  <sheetViews>
    <sheetView showGridLines="0" workbookViewId="0">
      <selection activeCell="J5" sqref="J5"/>
    </sheetView>
  </sheetViews>
  <sheetFormatPr defaultRowHeight="14.4" x14ac:dyDescent="0.3"/>
  <cols>
    <col min="1" max="1" width="12.44140625" bestFit="1" customWidth="1"/>
    <col min="2" max="2" width="14.33203125" bestFit="1" customWidth="1"/>
    <col min="3" max="3" width="18.109375" bestFit="1" customWidth="1"/>
    <col min="4" max="4" width="14" bestFit="1" customWidth="1"/>
    <col min="21" max="21" width="11.21875" bestFit="1" customWidth="1"/>
    <col min="22" max="22" width="8.44140625" bestFit="1" customWidth="1"/>
    <col min="23" max="23" width="7.88671875" bestFit="1" customWidth="1"/>
    <col min="24" max="24" width="14.5546875" bestFit="1" customWidth="1"/>
    <col min="25" max="25" width="12.5546875" bestFit="1" customWidth="1"/>
    <col min="26" max="26" width="11.88671875" bestFit="1" customWidth="1"/>
    <col min="27" max="27" width="8.21875" bestFit="1" customWidth="1"/>
  </cols>
  <sheetData>
    <row r="3" spans="1:4" x14ac:dyDescent="0.3">
      <c r="A3" s="14" t="s">
        <v>371</v>
      </c>
      <c r="B3" t="s">
        <v>398</v>
      </c>
      <c r="C3" t="s">
        <v>397</v>
      </c>
      <c r="D3" t="s">
        <v>396</v>
      </c>
    </row>
    <row r="4" spans="1:4" x14ac:dyDescent="0.3">
      <c r="A4" s="15" t="s">
        <v>375</v>
      </c>
      <c r="B4">
        <v>94000</v>
      </c>
      <c r="C4">
        <v>58000</v>
      </c>
      <c r="D4">
        <v>39</v>
      </c>
    </row>
    <row r="5" spans="1:4" x14ac:dyDescent="0.3">
      <c r="A5" s="16" t="s">
        <v>39</v>
      </c>
      <c r="B5">
        <v>4000</v>
      </c>
      <c r="C5">
        <v>2000</v>
      </c>
      <c r="D5">
        <v>1</v>
      </c>
    </row>
    <row r="6" spans="1:4" x14ac:dyDescent="0.3">
      <c r="A6" s="16" t="s">
        <v>43</v>
      </c>
      <c r="B6">
        <v>3000</v>
      </c>
      <c r="C6">
        <v>1000</v>
      </c>
      <c r="D6">
        <v>4</v>
      </c>
    </row>
    <row r="7" spans="1:4" x14ac:dyDescent="0.3">
      <c r="A7" s="16" t="s">
        <v>44</v>
      </c>
      <c r="B7">
        <v>6000</v>
      </c>
      <c r="C7">
        <v>4000</v>
      </c>
      <c r="D7">
        <v>2</v>
      </c>
    </row>
    <row r="8" spans="1:4" x14ac:dyDescent="0.3">
      <c r="A8" s="16" t="s">
        <v>47</v>
      </c>
      <c r="B8">
        <v>6000</v>
      </c>
      <c r="C8">
        <v>4000</v>
      </c>
      <c r="D8">
        <v>3</v>
      </c>
    </row>
    <row r="9" spans="1:4" x14ac:dyDescent="0.3">
      <c r="A9" s="16" t="s">
        <v>51</v>
      </c>
      <c r="B9">
        <v>6000</v>
      </c>
      <c r="C9">
        <v>4000</v>
      </c>
      <c r="D9">
        <v>2</v>
      </c>
    </row>
    <row r="10" spans="1:4" x14ac:dyDescent="0.3">
      <c r="A10" s="16" t="s">
        <v>52</v>
      </c>
      <c r="B10">
        <v>4000</v>
      </c>
      <c r="C10">
        <v>2000</v>
      </c>
      <c r="D10">
        <v>2</v>
      </c>
    </row>
    <row r="11" spans="1:4" x14ac:dyDescent="0.3">
      <c r="A11" s="16" t="s">
        <v>55</v>
      </c>
      <c r="B11">
        <v>5000</v>
      </c>
      <c r="C11">
        <v>3000</v>
      </c>
      <c r="D11">
        <v>2</v>
      </c>
    </row>
    <row r="12" spans="1:4" x14ac:dyDescent="0.3">
      <c r="A12" s="16" t="s">
        <v>59</v>
      </c>
      <c r="B12">
        <v>4000</v>
      </c>
      <c r="C12">
        <v>2000</v>
      </c>
      <c r="D12">
        <v>2</v>
      </c>
    </row>
    <row r="13" spans="1:4" x14ac:dyDescent="0.3">
      <c r="A13" s="16" t="s">
        <v>60</v>
      </c>
      <c r="B13">
        <v>3000</v>
      </c>
      <c r="C13">
        <v>1000</v>
      </c>
      <c r="D13">
        <v>1</v>
      </c>
    </row>
    <row r="14" spans="1:4" x14ac:dyDescent="0.3">
      <c r="A14" s="16" t="s">
        <v>63</v>
      </c>
      <c r="B14">
        <v>5000</v>
      </c>
      <c r="C14">
        <v>3000</v>
      </c>
      <c r="D14">
        <v>1</v>
      </c>
    </row>
    <row r="15" spans="1:4" x14ac:dyDescent="0.3">
      <c r="A15" s="16" t="s">
        <v>67</v>
      </c>
      <c r="B15">
        <v>8000</v>
      </c>
      <c r="C15">
        <v>6000</v>
      </c>
      <c r="D15">
        <v>4</v>
      </c>
    </row>
    <row r="16" spans="1:4" x14ac:dyDescent="0.3">
      <c r="A16" s="16" t="s">
        <v>68</v>
      </c>
      <c r="B16">
        <v>4000</v>
      </c>
      <c r="C16">
        <v>2000</v>
      </c>
      <c r="D16">
        <v>1</v>
      </c>
    </row>
    <row r="17" spans="1:4" x14ac:dyDescent="0.3">
      <c r="A17" s="16" t="s">
        <v>71</v>
      </c>
      <c r="B17">
        <v>8000</v>
      </c>
      <c r="C17">
        <v>6000</v>
      </c>
      <c r="D17">
        <v>1</v>
      </c>
    </row>
    <row r="18" spans="1:4" x14ac:dyDescent="0.3">
      <c r="A18" s="16" t="s">
        <v>75</v>
      </c>
      <c r="B18">
        <v>6000</v>
      </c>
      <c r="C18">
        <v>4000</v>
      </c>
      <c r="D18">
        <v>1</v>
      </c>
    </row>
    <row r="19" spans="1:4" x14ac:dyDescent="0.3">
      <c r="A19" s="16" t="s">
        <v>76</v>
      </c>
      <c r="B19">
        <v>5000</v>
      </c>
      <c r="C19">
        <v>3000</v>
      </c>
      <c r="D19">
        <v>3</v>
      </c>
    </row>
    <row r="20" spans="1:4" x14ac:dyDescent="0.3">
      <c r="A20" s="16" t="s">
        <v>79</v>
      </c>
      <c r="B20">
        <v>6000</v>
      </c>
      <c r="C20">
        <v>4000</v>
      </c>
      <c r="D20">
        <v>4</v>
      </c>
    </row>
    <row r="21" spans="1:4" x14ac:dyDescent="0.3">
      <c r="A21" s="16" t="s">
        <v>83</v>
      </c>
      <c r="B21">
        <v>3000</v>
      </c>
      <c r="C21">
        <v>1000</v>
      </c>
      <c r="D21">
        <v>3</v>
      </c>
    </row>
    <row r="22" spans="1:4" x14ac:dyDescent="0.3">
      <c r="A22" s="16" t="s">
        <v>84</v>
      </c>
      <c r="B22">
        <v>8000</v>
      </c>
      <c r="C22">
        <v>6000</v>
      </c>
      <c r="D22">
        <v>2</v>
      </c>
    </row>
    <row r="23" spans="1:4" x14ac:dyDescent="0.3">
      <c r="A23" s="15" t="s">
        <v>373</v>
      </c>
      <c r="B23">
        <v>129000</v>
      </c>
      <c r="C23">
        <v>57000</v>
      </c>
      <c r="D23">
        <v>41</v>
      </c>
    </row>
    <row r="24" spans="1:4" x14ac:dyDescent="0.3">
      <c r="A24" s="16" t="s">
        <v>40</v>
      </c>
      <c r="B24">
        <v>6000</v>
      </c>
      <c r="C24">
        <v>2000</v>
      </c>
      <c r="D24">
        <v>3</v>
      </c>
    </row>
    <row r="25" spans="1:4" x14ac:dyDescent="0.3">
      <c r="A25" s="16" t="s">
        <v>45</v>
      </c>
      <c r="B25">
        <v>6000</v>
      </c>
      <c r="C25">
        <v>2000</v>
      </c>
      <c r="D25">
        <v>2</v>
      </c>
    </row>
    <row r="26" spans="1:4" x14ac:dyDescent="0.3">
      <c r="A26" s="16" t="s">
        <v>46</v>
      </c>
      <c r="B26">
        <v>8000</v>
      </c>
      <c r="C26">
        <v>4000</v>
      </c>
      <c r="D26">
        <v>1</v>
      </c>
    </row>
    <row r="27" spans="1:4" x14ac:dyDescent="0.3">
      <c r="A27" s="16" t="s">
        <v>48</v>
      </c>
      <c r="B27">
        <v>5000</v>
      </c>
      <c r="C27">
        <v>1000</v>
      </c>
      <c r="D27">
        <v>2</v>
      </c>
    </row>
    <row r="28" spans="1:4" x14ac:dyDescent="0.3">
      <c r="A28" s="16" t="s">
        <v>53</v>
      </c>
      <c r="B28">
        <v>6000</v>
      </c>
      <c r="C28">
        <v>2000</v>
      </c>
      <c r="D28">
        <v>1</v>
      </c>
    </row>
    <row r="29" spans="1:4" x14ac:dyDescent="0.3">
      <c r="A29" s="16" t="s">
        <v>54</v>
      </c>
      <c r="B29">
        <v>8000</v>
      </c>
      <c r="C29">
        <v>4000</v>
      </c>
      <c r="D29">
        <v>3</v>
      </c>
    </row>
    <row r="30" spans="1:4" x14ac:dyDescent="0.3">
      <c r="A30" s="16" t="s">
        <v>56</v>
      </c>
      <c r="B30">
        <v>5000</v>
      </c>
      <c r="C30">
        <v>1000</v>
      </c>
      <c r="D30">
        <v>1</v>
      </c>
    </row>
    <row r="31" spans="1:4" x14ac:dyDescent="0.3">
      <c r="A31" s="16" t="s">
        <v>61</v>
      </c>
      <c r="B31">
        <v>10000</v>
      </c>
      <c r="C31">
        <v>6000</v>
      </c>
      <c r="D31">
        <v>3</v>
      </c>
    </row>
    <row r="32" spans="1:4" x14ac:dyDescent="0.3">
      <c r="A32" s="16" t="s">
        <v>62</v>
      </c>
      <c r="B32">
        <v>8000</v>
      </c>
      <c r="C32">
        <v>4000</v>
      </c>
      <c r="D32">
        <v>2</v>
      </c>
    </row>
    <row r="33" spans="1:4" x14ac:dyDescent="0.3">
      <c r="A33" s="16" t="s">
        <v>64</v>
      </c>
      <c r="B33">
        <v>6000</v>
      </c>
      <c r="C33">
        <v>2000</v>
      </c>
      <c r="D33">
        <v>4</v>
      </c>
    </row>
    <row r="34" spans="1:4" x14ac:dyDescent="0.3">
      <c r="A34" s="16" t="s">
        <v>69</v>
      </c>
      <c r="B34">
        <v>12000</v>
      </c>
      <c r="C34">
        <v>8000</v>
      </c>
      <c r="D34">
        <v>3</v>
      </c>
    </row>
    <row r="35" spans="1:4" x14ac:dyDescent="0.3">
      <c r="A35" s="16" t="s">
        <v>70</v>
      </c>
      <c r="B35">
        <v>5000</v>
      </c>
      <c r="C35">
        <v>1000</v>
      </c>
      <c r="D35">
        <v>2</v>
      </c>
    </row>
    <row r="36" spans="1:4" x14ac:dyDescent="0.3">
      <c r="A36" s="16" t="s">
        <v>72</v>
      </c>
      <c r="B36">
        <v>8000</v>
      </c>
      <c r="C36">
        <v>4000</v>
      </c>
      <c r="D36">
        <v>4</v>
      </c>
    </row>
    <row r="37" spans="1:4" x14ac:dyDescent="0.3">
      <c r="A37" s="16" t="s">
        <v>77</v>
      </c>
      <c r="B37">
        <v>6000</v>
      </c>
      <c r="C37">
        <v>2000</v>
      </c>
      <c r="D37">
        <v>2</v>
      </c>
    </row>
    <row r="38" spans="1:4" x14ac:dyDescent="0.3">
      <c r="A38" s="16" t="s">
        <v>78</v>
      </c>
      <c r="B38">
        <v>8000</v>
      </c>
      <c r="C38">
        <v>4000</v>
      </c>
      <c r="D38">
        <v>1</v>
      </c>
    </row>
    <row r="39" spans="1:4" x14ac:dyDescent="0.3">
      <c r="A39" s="16" t="s">
        <v>80</v>
      </c>
      <c r="B39">
        <v>8000</v>
      </c>
      <c r="C39">
        <v>4000</v>
      </c>
      <c r="D39">
        <v>2</v>
      </c>
    </row>
    <row r="40" spans="1:4" x14ac:dyDescent="0.3">
      <c r="A40" s="16" t="s">
        <v>85</v>
      </c>
      <c r="B40">
        <v>8000</v>
      </c>
      <c r="C40">
        <v>4000</v>
      </c>
      <c r="D40">
        <v>1</v>
      </c>
    </row>
    <row r="41" spans="1:4" x14ac:dyDescent="0.3">
      <c r="A41" s="16" t="s">
        <v>86</v>
      </c>
      <c r="B41">
        <v>6000</v>
      </c>
      <c r="C41">
        <v>2000</v>
      </c>
      <c r="D41">
        <v>4</v>
      </c>
    </row>
    <row r="42" spans="1:4" x14ac:dyDescent="0.3">
      <c r="A42" s="15" t="s">
        <v>374</v>
      </c>
      <c r="B42">
        <v>61000</v>
      </c>
      <c r="C42">
        <v>26000</v>
      </c>
      <c r="D42">
        <v>15</v>
      </c>
    </row>
    <row r="43" spans="1:4" x14ac:dyDescent="0.3">
      <c r="A43" s="16" t="s">
        <v>41</v>
      </c>
      <c r="B43">
        <v>9000</v>
      </c>
      <c r="C43">
        <v>4000</v>
      </c>
      <c r="D43">
        <v>2</v>
      </c>
    </row>
    <row r="44" spans="1:4" x14ac:dyDescent="0.3">
      <c r="A44" s="16" t="s">
        <v>49</v>
      </c>
      <c r="B44">
        <v>9000</v>
      </c>
      <c r="C44">
        <v>4000</v>
      </c>
      <c r="D44">
        <v>1</v>
      </c>
    </row>
    <row r="45" spans="1:4" x14ac:dyDescent="0.3">
      <c r="A45" s="16" t="s">
        <v>57</v>
      </c>
      <c r="B45">
        <v>9000</v>
      </c>
      <c r="C45">
        <v>4000</v>
      </c>
      <c r="D45">
        <v>4</v>
      </c>
    </row>
    <row r="46" spans="1:4" x14ac:dyDescent="0.3">
      <c r="A46" s="16" t="s">
        <v>65</v>
      </c>
      <c r="B46">
        <v>9000</v>
      </c>
      <c r="C46">
        <v>4000</v>
      </c>
      <c r="D46">
        <v>2</v>
      </c>
    </row>
    <row r="47" spans="1:4" x14ac:dyDescent="0.3">
      <c r="A47" s="16" t="s">
        <v>73</v>
      </c>
      <c r="B47">
        <v>9000</v>
      </c>
      <c r="C47">
        <v>4000</v>
      </c>
      <c r="D47">
        <v>2</v>
      </c>
    </row>
    <row r="48" spans="1:4" x14ac:dyDescent="0.3">
      <c r="A48" s="16" t="s">
        <v>81</v>
      </c>
      <c r="B48">
        <v>9000</v>
      </c>
      <c r="C48">
        <v>4000</v>
      </c>
      <c r="D48">
        <v>2</v>
      </c>
    </row>
    <row r="49" spans="1:4" x14ac:dyDescent="0.3">
      <c r="A49" s="16" t="s">
        <v>88</v>
      </c>
      <c r="B49">
        <v>7000</v>
      </c>
      <c r="C49">
        <v>2000</v>
      </c>
      <c r="D49">
        <v>2</v>
      </c>
    </row>
    <row r="50" spans="1:4" x14ac:dyDescent="0.3">
      <c r="A50" s="15" t="s">
        <v>376</v>
      </c>
      <c r="B50">
        <v>68000</v>
      </c>
      <c r="C50">
        <v>26000</v>
      </c>
      <c r="D50">
        <v>14</v>
      </c>
    </row>
    <row r="51" spans="1:4" x14ac:dyDescent="0.3">
      <c r="A51" s="16" t="s">
        <v>42</v>
      </c>
      <c r="B51">
        <v>12000</v>
      </c>
      <c r="C51">
        <v>6000</v>
      </c>
      <c r="D51">
        <v>1</v>
      </c>
    </row>
    <row r="52" spans="1:4" x14ac:dyDescent="0.3">
      <c r="A52" s="16" t="s">
        <v>50</v>
      </c>
      <c r="B52">
        <v>7000</v>
      </c>
      <c r="C52">
        <v>1000</v>
      </c>
      <c r="D52">
        <v>4</v>
      </c>
    </row>
    <row r="53" spans="1:4" x14ac:dyDescent="0.3">
      <c r="A53" s="16" t="s">
        <v>58</v>
      </c>
      <c r="B53">
        <v>9000</v>
      </c>
      <c r="C53">
        <v>3000</v>
      </c>
      <c r="D53">
        <v>2</v>
      </c>
    </row>
    <row r="54" spans="1:4" x14ac:dyDescent="0.3">
      <c r="A54" s="16" t="s">
        <v>66</v>
      </c>
      <c r="B54">
        <v>10000</v>
      </c>
      <c r="C54">
        <v>4000</v>
      </c>
      <c r="D54">
        <v>2</v>
      </c>
    </row>
    <row r="55" spans="1:4" x14ac:dyDescent="0.3">
      <c r="A55" s="16" t="s">
        <v>74</v>
      </c>
      <c r="B55">
        <v>10000</v>
      </c>
      <c r="C55">
        <v>4000</v>
      </c>
      <c r="D55">
        <v>2</v>
      </c>
    </row>
    <row r="56" spans="1:4" x14ac:dyDescent="0.3">
      <c r="A56" s="16" t="s">
        <v>82</v>
      </c>
      <c r="B56">
        <v>12000</v>
      </c>
      <c r="C56">
        <v>6000</v>
      </c>
      <c r="D56">
        <v>1</v>
      </c>
    </row>
    <row r="57" spans="1:4" x14ac:dyDescent="0.3">
      <c r="A57" s="16" t="s">
        <v>87</v>
      </c>
      <c r="B57">
        <v>8000</v>
      </c>
      <c r="C57">
        <v>2000</v>
      </c>
      <c r="D57">
        <v>2</v>
      </c>
    </row>
    <row r="58" spans="1:4" x14ac:dyDescent="0.3">
      <c r="A58" s="15" t="s">
        <v>372</v>
      </c>
      <c r="B58">
        <v>352000</v>
      </c>
      <c r="C58">
        <v>167000</v>
      </c>
      <c r="D58">
        <v>109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BEC65-6CB9-4E3E-A14F-A9C966537ED7}">
  <sheetPr>
    <tabColor theme="1"/>
  </sheetPr>
  <dimension ref="A1:X56"/>
  <sheetViews>
    <sheetView showGridLines="0" workbookViewId="0">
      <selection activeCell="K59" sqref="K59"/>
    </sheetView>
  </sheetViews>
  <sheetFormatPr defaultRowHeight="14.4" x14ac:dyDescent="0.3"/>
  <sheetData>
    <row r="1" spans="1:24" ht="94.2" customHeight="1" x14ac:dyDescent="0.3">
      <c r="A1" s="44"/>
      <c r="B1" s="44"/>
      <c r="C1" s="44"/>
      <c r="D1" s="44"/>
      <c r="E1" s="44"/>
      <c r="F1" s="44"/>
      <c r="G1" s="44"/>
      <c r="H1" s="44"/>
      <c r="I1" s="44"/>
      <c r="J1" s="44"/>
      <c r="K1" s="44"/>
      <c r="L1" s="44"/>
      <c r="M1" s="44"/>
      <c r="N1" s="44"/>
      <c r="O1" s="44"/>
      <c r="P1" s="44"/>
      <c r="Q1" s="44"/>
      <c r="R1" s="44"/>
      <c r="S1" s="44"/>
      <c r="T1" s="44"/>
      <c r="U1" s="44"/>
      <c r="V1" s="44"/>
      <c r="W1" s="44"/>
      <c r="X1" s="44"/>
    </row>
    <row r="2" spans="1:24" x14ac:dyDescent="0.3">
      <c r="A2" s="38"/>
      <c r="B2" s="38"/>
      <c r="C2" s="38"/>
      <c r="D2" s="38"/>
      <c r="E2" s="38"/>
      <c r="F2" s="38"/>
      <c r="G2" s="38"/>
      <c r="H2" s="38"/>
      <c r="I2" s="38"/>
      <c r="J2" s="38"/>
      <c r="K2" s="38"/>
      <c r="L2" s="38"/>
      <c r="M2" s="38"/>
      <c r="N2" s="38"/>
      <c r="O2" s="38"/>
      <c r="P2" s="38"/>
      <c r="Q2" s="38"/>
      <c r="R2" s="38"/>
      <c r="S2" s="38"/>
      <c r="T2" s="38"/>
      <c r="U2" s="38"/>
      <c r="V2" s="38"/>
      <c r="W2" s="38"/>
      <c r="X2" s="38"/>
    </row>
    <row r="3" spans="1:24" x14ac:dyDescent="0.3">
      <c r="A3" s="38"/>
      <c r="B3" s="38"/>
      <c r="C3" s="38"/>
      <c r="D3" s="38"/>
      <c r="E3" s="38"/>
      <c r="F3" s="38"/>
      <c r="G3" s="38"/>
      <c r="H3" s="38"/>
      <c r="I3" s="38"/>
      <c r="J3" s="38"/>
      <c r="K3" s="38"/>
      <c r="L3" s="38"/>
      <c r="M3" s="38"/>
      <c r="N3" s="38"/>
      <c r="O3" s="38"/>
      <c r="P3" s="38"/>
      <c r="Q3" s="38"/>
      <c r="R3" s="38"/>
      <c r="S3" s="38"/>
      <c r="T3" s="38"/>
      <c r="U3" s="38"/>
      <c r="V3" s="38"/>
      <c r="W3" s="38"/>
      <c r="X3" s="38"/>
    </row>
    <row r="4" spans="1:24" x14ac:dyDescent="0.3">
      <c r="A4" s="38"/>
      <c r="B4" s="38"/>
      <c r="C4" s="38"/>
      <c r="D4" s="38"/>
      <c r="E4" s="38"/>
      <c r="F4" s="38"/>
      <c r="G4" s="38"/>
      <c r="H4" s="38"/>
      <c r="I4" s="38"/>
      <c r="J4" s="38"/>
      <c r="K4" s="38"/>
      <c r="L4" s="38"/>
      <c r="M4" s="38"/>
      <c r="N4" s="38"/>
      <c r="O4" s="38"/>
      <c r="P4" s="38"/>
      <c r="Q4" s="38"/>
      <c r="R4" s="38"/>
      <c r="S4" s="38"/>
      <c r="T4" s="38"/>
      <c r="U4" s="38"/>
      <c r="V4" s="38"/>
      <c r="W4" s="38"/>
      <c r="X4" s="38"/>
    </row>
    <row r="5" spans="1:24" x14ac:dyDescent="0.3">
      <c r="A5" s="38"/>
      <c r="B5" s="38"/>
      <c r="C5" s="38"/>
      <c r="D5" s="38"/>
      <c r="E5" s="38"/>
      <c r="F5" s="38"/>
      <c r="G5" s="38"/>
      <c r="H5" s="38"/>
      <c r="I5" s="38"/>
      <c r="J5" s="38"/>
      <c r="K5" s="38"/>
      <c r="L5" s="38"/>
      <c r="M5" s="38"/>
      <c r="N5" s="38"/>
      <c r="O5" s="38"/>
      <c r="P5" s="38"/>
      <c r="Q5" s="38"/>
      <c r="R5" s="38"/>
      <c r="S5" s="38"/>
      <c r="T5" s="38"/>
      <c r="U5" s="38"/>
      <c r="V5" s="38"/>
      <c r="W5" s="38"/>
      <c r="X5" s="38"/>
    </row>
    <row r="6" spans="1:24" x14ac:dyDescent="0.3">
      <c r="A6" s="38"/>
      <c r="B6" s="38"/>
      <c r="C6" s="38"/>
      <c r="D6" s="38"/>
      <c r="E6" s="38"/>
      <c r="F6" s="38"/>
      <c r="G6" s="38"/>
      <c r="H6" s="38"/>
      <c r="I6" s="38"/>
      <c r="J6" s="38"/>
      <c r="K6" s="38"/>
      <c r="L6" s="38"/>
      <c r="M6" s="38"/>
      <c r="N6" s="38"/>
      <c r="O6" s="38"/>
      <c r="P6" s="38"/>
      <c r="Q6" s="38"/>
      <c r="R6" s="38"/>
      <c r="S6" s="38"/>
      <c r="T6" s="38"/>
      <c r="U6" s="38"/>
      <c r="V6" s="38"/>
      <c r="W6" s="38"/>
      <c r="X6" s="38"/>
    </row>
    <row r="7" spans="1:24" x14ac:dyDescent="0.3">
      <c r="A7" s="38"/>
      <c r="B7" s="38"/>
      <c r="C7" s="38"/>
      <c r="D7" s="38"/>
      <c r="E7" s="38"/>
      <c r="F7" s="38"/>
      <c r="G7" s="38"/>
      <c r="H7" s="38"/>
      <c r="I7" s="38"/>
      <c r="J7" s="38"/>
      <c r="K7" s="38"/>
      <c r="L7" s="38"/>
      <c r="M7" s="38"/>
      <c r="N7" s="38"/>
      <c r="O7" s="38"/>
      <c r="P7" s="38"/>
      <c r="Q7" s="38"/>
      <c r="R7" s="38"/>
      <c r="S7" s="38"/>
      <c r="T7" s="38"/>
      <c r="U7" s="38"/>
      <c r="V7" s="38"/>
      <c r="W7" s="38"/>
      <c r="X7" s="38"/>
    </row>
    <row r="8" spans="1:24" x14ac:dyDescent="0.3">
      <c r="A8" s="38"/>
      <c r="B8" s="38"/>
      <c r="C8" s="38"/>
      <c r="D8" s="38"/>
      <c r="E8" s="38"/>
      <c r="F8" s="38"/>
      <c r="G8" s="38"/>
      <c r="H8" s="38"/>
      <c r="I8" s="38"/>
      <c r="J8" s="38"/>
      <c r="K8" s="38"/>
      <c r="L8" s="38"/>
      <c r="M8" s="38"/>
      <c r="N8" s="38"/>
      <c r="O8" s="38"/>
      <c r="P8" s="38"/>
      <c r="Q8" s="38"/>
      <c r="R8" s="38"/>
      <c r="S8" s="38"/>
      <c r="T8" s="38"/>
      <c r="U8" s="38"/>
      <c r="V8" s="38"/>
      <c r="W8" s="38"/>
      <c r="X8" s="38"/>
    </row>
    <row r="9" spans="1:24" x14ac:dyDescent="0.3">
      <c r="A9" s="38"/>
      <c r="B9" s="38"/>
      <c r="C9" s="38"/>
      <c r="D9" s="38"/>
      <c r="E9" s="38"/>
      <c r="F9" s="38"/>
      <c r="G9" s="38"/>
      <c r="H9" s="38"/>
      <c r="I9" s="38"/>
      <c r="J9" s="38"/>
      <c r="K9" s="38"/>
      <c r="L9" s="38"/>
      <c r="M9" s="38"/>
      <c r="N9" s="38"/>
      <c r="O9" s="38"/>
      <c r="P9" s="38"/>
      <c r="Q9" s="38"/>
      <c r="R9" s="38"/>
      <c r="S9" s="38"/>
      <c r="T9" s="38"/>
      <c r="U9" s="38"/>
      <c r="V9" s="38"/>
      <c r="W9" s="38"/>
      <c r="X9" s="38"/>
    </row>
    <row r="10" spans="1:24" x14ac:dyDescent="0.3">
      <c r="A10" s="38"/>
      <c r="B10" s="38"/>
      <c r="C10" s="38"/>
      <c r="D10" s="38"/>
      <c r="E10" s="38"/>
      <c r="F10" s="38"/>
      <c r="G10" s="38"/>
      <c r="H10" s="38"/>
      <c r="I10" s="38"/>
      <c r="J10" s="38"/>
      <c r="K10" s="38"/>
      <c r="L10" s="38"/>
      <c r="M10" s="38"/>
      <c r="N10" s="38"/>
      <c r="O10" s="38"/>
      <c r="P10" s="38"/>
      <c r="Q10" s="38"/>
      <c r="R10" s="38"/>
      <c r="S10" s="38"/>
      <c r="T10" s="38"/>
      <c r="U10" s="38"/>
      <c r="V10" s="38"/>
      <c r="W10" s="38"/>
      <c r="X10" s="38"/>
    </row>
    <row r="11" spans="1:24" x14ac:dyDescent="0.3">
      <c r="A11" s="38"/>
      <c r="B11" s="38"/>
      <c r="C11" s="38"/>
      <c r="D11" s="38"/>
      <c r="E11" s="38"/>
      <c r="F11" s="38"/>
      <c r="G11" s="38"/>
      <c r="H11" s="38"/>
      <c r="I11" s="38"/>
      <c r="J11" s="38"/>
      <c r="K11" s="38"/>
      <c r="L11" s="38"/>
      <c r="M11" s="38"/>
      <c r="N11" s="38"/>
      <c r="O11" s="38"/>
      <c r="P11" s="38"/>
      <c r="Q11" s="38"/>
      <c r="R11" s="38"/>
      <c r="S11" s="38"/>
      <c r="T11" s="38"/>
      <c r="U11" s="38"/>
      <c r="V11" s="38"/>
      <c r="W11" s="38"/>
      <c r="X11" s="38"/>
    </row>
    <row r="12" spans="1:24" x14ac:dyDescent="0.3">
      <c r="A12" s="38"/>
      <c r="B12" s="38"/>
      <c r="C12" s="38"/>
      <c r="D12" s="38"/>
      <c r="E12" s="38"/>
      <c r="F12" s="38"/>
      <c r="G12" s="38"/>
      <c r="H12" s="38"/>
      <c r="I12" s="38"/>
      <c r="J12" s="38"/>
      <c r="K12" s="38"/>
      <c r="L12" s="38"/>
      <c r="M12" s="38"/>
      <c r="N12" s="38"/>
      <c r="O12" s="38"/>
      <c r="P12" s="38"/>
      <c r="Q12" s="38"/>
      <c r="R12" s="38"/>
      <c r="S12" s="38"/>
      <c r="T12" s="38"/>
      <c r="U12" s="38"/>
      <c r="V12" s="38"/>
      <c r="W12" s="38"/>
      <c r="X12" s="38"/>
    </row>
    <row r="13" spans="1:24" x14ac:dyDescent="0.3">
      <c r="A13" s="38"/>
      <c r="B13" s="38"/>
      <c r="C13" s="38"/>
      <c r="D13" s="38"/>
      <c r="E13" s="38"/>
      <c r="F13" s="38"/>
      <c r="G13" s="38"/>
      <c r="H13" s="38"/>
      <c r="I13" s="38"/>
      <c r="J13" s="38"/>
      <c r="K13" s="38"/>
      <c r="L13" s="38"/>
      <c r="M13" s="38"/>
      <c r="N13" s="38"/>
      <c r="O13" s="38"/>
      <c r="P13" s="38"/>
      <c r="Q13" s="38"/>
      <c r="R13" s="38"/>
      <c r="S13" s="38"/>
      <c r="T13" s="38"/>
      <c r="U13" s="38"/>
      <c r="V13" s="38"/>
      <c r="W13" s="38"/>
      <c r="X13" s="38"/>
    </row>
    <row r="14" spans="1:24" x14ac:dyDescent="0.3">
      <c r="A14" s="38"/>
      <c r="B14" s="38"/>
      <c r="C14" s="38"/>
      <c r="D14" s="38"/>
      <c r="E14" s="38"/>
      <c r="F14" s="38"/>
      <c r="G14" s="38"/>
      <c r="H14" s="38"/>
      <c r="I14" s="38"/>
      <c r="J14" s="38"/>
      <c r="K14" s="38"/>
      <c r="L14" s="38"/>
      <c r="M14" s="38"/>
      <c r="N14" s="38"/>
      <c r="O14" s="38"/>
      <c r="P14" s="38"/>
      <c r="Q14" s="38"/>
      <c r="R14" s="38"/>
      <c r="S14" s="38"/>
      <c r="T14" s="38"/>
      <c r="U14" s="38"/>
      <c r="V14" s="38"/>
      <c r="W14" s="38"/>
      <c r="X14" s="38"/>
    </row>
    <row r="15" spans="1:24" x14ac:dyDescent="0.3">
      <c r="A15" s="38"/>
      <c r="B15" s="38"/>
      <c r="C15" s="38"/>
      <c r="D15" s="38"/>
      <c r="E15" s="38"/>
      <c r="F15" s="38"/>
      <c r="G15" s="38"/>
      <c r="H15" s="38"/>
      <c r="I15" s="38"/>
      <c r="J15" s="38"/>
      <c r="K15" s="38"/>
      <c r="L15" s="38"/>
      <c r="M15" s="38"/>
      <c r="N15" s="38"/>
      <c r="O15" s="38"/>
      <c r="P15" s="38"/>
      <c r="Q15" s="38"/>
      <c r="R15" s="38"/>
      <c r="S15" s="38"/>
      <c r="T15" s="38"/>
      <c r="U15" s="38"/>
      <c r="V15" s="38"/>
      <c r="W15" s="38"/>
      <c r="X15" s="38"/>
    </row>
    <row r="16" spans="1:24" x14ac:dyDescent="0.3">
      <c r="A16" s="38"/>
      <c r="B16" s="38"/>
      <c r="C16" s="38"/>
      <c r="D16" s="38"/>
      <c r="E16" s="38"/>
      <c r="F16" s="38"/>
      <c r="G16" s="38"/>
      <c r="H16" s="38"/>
      <c r="I16" s="38"/>
      <c r="J16" s="38"/>
      <c r="K16" s="38"/>
      <c r="L16" s="38"/>
      <c r="M16" s="38"/>
      <c r="N16" s="38"/>
      <c r="O16" s="38"/>
      <c r="P16" s="38"/>
      <c r="Q16" s="38"/>
      <c r="R16" s="38"/>
      <c r="S16" s="38"/>
      <c r="T16" s="38"/>
      <c r="U16" s="38"/>
      <c r="V16" s="38"/>
      <c r="W16" s="38"/>
      <c r="X16" s="38"/>
    </row>
    <row r="17" spans="1:24" x14ac:dyDescent="0.3">
      <c r="A17" s="38"/>
      <c r="B17" s="38"/>
      <c r="C17" s="38"/>
      <c r="D17" s="38"/>
      <c r="E17" s="38"/>
      <c r="F17" s="38"/>
      <c r="G17" s="38"/>
      <c r="H17" s="38"/>
      <c r="I17" s="38"/>
      <c r="J17" s="38"/>
      <c r="K17" s="38"/>
      <c r="L17" s="38"/>
      <c r="M17" s="38"/>
      <c r="N17" s="38"/>
      <c r="O17" s="38"/>
      <c r="P17" s="38"/>
      <c r="Q17" s="38"/>
      <c r="R17" s="38"/>
      <c r="S17" s="38"/>
      <c r="T17" s="38"/>
      <c r="U17" s="38"/>
      <c r="V17" s="38"/>
      <c r="W17" s="38"/>
      <c r="X17" s="38"/>
    </row>
    <row r="18" spans="1:24" x14ac:dyDescent="0.3">
      <c r="A18" s="38"/>
      <c r="B18" s="38"/>
      <c r="C18" s="38"/>
      <c r="D18" s="38"/>
      <c r="E18" s="38"/>
      <c r="F18" s="38"/>
      <c r="G18" s="38"/>
      <c r="H18" s="38"/>
      <c r="I18" s="38"/>
      <c r="J18" s="38"/>
      <c r="K18" s="38"/>
      <c r="L18" s="38"/>
      <c r="M18" s="38"/>
      <c r="N18" s="38"/>
      <c r="O18" s="38"/>
      <c r="P18" s="38"/>
      <c r="Q18" s="38"/>
      <c r="R18" s="38"/>
      <c r="S18" s="38"/>
      <c r="T18" s="38"/>
      <c r="U18" s="38"/>
      <c r="V18" s="38"/>
      <c r="W18" s="38"/>
      <c r="X18" s="38"/>
    </row>
    <row r="19" spans="1:24" x14ac:dyDescent="0.3">
      <c r="A19" s="38"/>
      <c r="B19" s="38"/>
      <c r="C19" s="38"/>
      <c r="D19" s="38"/>
      <c r="E19" s="38"/>
      <c r="F19" s="38"/>
      <c r="G19" s="38"/>
      <c r="H19" s="38"/>
      <c r="I19" s="38"/>
      <c r="J19" s="38"/>
      <c r="K19" s="38"/>
      <c r="L19" s="38"/>
      <c r="M19" s="38"/>
      <c r="N19" s="38"/>
      <c r="O19" s="38"/>
      <c r="P19" s="38"/>
      <c r="Q19" s="38"/>
      <c r="R19" s="38"/>
      <c r="S19" s="38"/>
      <c r="T19" s="38"/>
      <c r="U19" s="38"/>
      <c r="V19" s="38"/>
      <c r="W19" s="38"/>
      <c r="X19" s="38"/>
    </row>
    <row r="20" spans="1:24" x14ac:dyDescent="0.3">
      <c r="A20" s="38"/>
      <c r="B20" s="38"/>
      <c r="C20" s="38"/>
      <c r="D20" s="38"/>
      <c r="E20" s="38"/>
      <c r="F20" s="38"/>
      <c r="G20" s="38"/>
      <c r="H20" s="38"/>
      <c r="I20" s="38"/>
      <c r="J20" s="38"/>
      <c r="K20" s="38"/>
      <c r="L20" s="38"/>
      <c r="M20" s="38"/>
      <c r="N20" s="38"/>
      <c r="O20" s="38"/>
      <c r="P20" s="38"/>
      <c r="Q20" s="38"/>
      <c r="R20" s="38"/>
      <c r="S20" s="38"/>
      <c r="T20" s="38"/>
      <c r="U20" s="38"/>
      <c r="V20" s="38"/>
      <c r="W20" s="38"/>
      <c r="X20" s="38"/>
    </row>
    <row r="21" spans="1:24" x14ac:dyDescent="0.3">
      <c r="A21" s="38"/>
      <c r="B21" s="38"/>
      <c r="C21" s="38"/>
      <c r="D21" s="38"/>
      <c r="E21" s="38"/>
      <c r="F21" s="38"/>
      <c r="G21" s="38"/>
      <c r="H21" s="38"/>
      <c r="I21" s="38"/>
      <c r="J21" s="38"/>
      <c r="K21" s="38"/>
      <c r="L21" s="38"/>
      <c r="M21" s="38"/>
      <c r="N21" s="38"/>
      <c r="O21" s="38"/>
      <c r="P21" s="38"/>
      <c r="Q21" s="38"/>
      <c r="R21" s="38"/>
      <c r="S21" s="38"/>
      <c r="T21" s="38"/>
      <c r="U21" s="38"/>
      <c r="V21" s="38"/>
      <c r="W21" s="38"/>
      <c r="X21" s="38"/>
    </row>
    <row r="22" spans="1:24"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row>
    <row r="23" spans="1:24"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row>
    <row r="24" spans="1:24"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row>
    <row r="25" spans="1:24"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row>
    <row r="26" spans="1:24"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row>
    <row r="27" spans="1:24"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row>
    <row r="28" spans="1:24"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row>
    <row r="29" spans="1:24"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row>
    <row r="30" spans="1:24"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row>
    <row r="31" spans="1:24"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row>
    <row r="32" spans="1:24"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row>
    <row r="33" spans="1:24"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row>
    <row r="34" spans="1:24"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row>
    <row r="35" spans="1:24"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row>
    <row r="36" spans="1:24"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row>
    <row r="37" spans="1:24"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row>
    <row r="38" spans="1:24"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row>
    <row r="39" spans="1:24"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row>
    <row r="40" spans="1:24"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row>
    <row r="41" spans="1:24"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row>
    <row r="42" spans="1:24"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row>
    <row r="43" spans="1:24"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row>
    <row r="44" spans="1:24"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row>
    <row r="45" spans="1:24"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row>
    <row r="46" spans="1:24"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row>
    <row r="47" spans="1:24"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row>
    <row r="48" spans="1:24"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row>
    <row r="49" spans="1:24"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row>
    <row r="50" spans="1:24"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row>
    <row r="51" spans="1:24"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row>
    <row r="52" spans="1:24"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row>
    <row r="53" spans="1:24"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row>
    <row r="54" spans="1:24"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row>
    <row r="55" spans="1:24"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row>
    <row r="56" spans="1:24" x14ac:dyDescent="0.3">
      <c r="A56" s="37"/>
      <c r="B56" s="37"/>
      <c r="C56" s="37"/>
      <c r="D56" s="37"/>
      <c r="E56" s="37"/>
      <c r="F56" s="37"/>
      <c r="G56" s="37"/>
      <c r="H56" s="37"/>
      <c r="I56" s="37"/>
      <c r="J56" s="37"/>
      <c r="K56" s="37"/>
      <c r="L56" s="37"/>
      <c r="M56" s="37"/>
      <c r="N56" s="37"/>
      <c r="O56" s="37"/>
      <c r="P56" s="37"/>
      <c r="Q56" s="37"/>
      <c r="R56" s="37"/>
      <c r="S56" s="37"/>
      <c r="T56" s="37"/>
      <c r="U56" s="37"/>
      <c r="V56" s="37"/>
      <c r="W56" s="37"/>
      <c r="X56" s="37"/>
    </row>
  </sheetData>
  <mergeCells count="1">
    <mergeCell ref="A1:X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Coustmer Details</vt:lpstr>
      <vt:lpstr>Room Details</vt:lpstr>
      <vt:lpstr>Dash Board-1</vt:lpstr>
      <vt:lpstr>Room Lookup</vt:lpstr>
      <vt:lpstr>Food Details</vt:lpstr>
      <vt:lpstr>Dash Board-2</vt:lpstr>
      <vt:lpstr>Lookups</vt:lpstr>
      <vt:lpstr>Total Bill</vt:lpstr>
      <vt:lpstr>Dash Board-3</vt:lpstr>
      <vt:lpstr>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Sree</dc:creator>
  <cp:lastModifiedBy>Madhu Sree</cp:lastModifiedBy>
  <dcterms:created xsi:type="dcterms:W3CDTF">2026-02-27T07:31:09Z</dcterms:created>
  <dcterms:modified xsi:type="dcterms:W3CDTF">2026-05-27T19:03:03Z</dcterms:modified>
</cp:coreProperties>
</file>